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0" documentId="13_ncr:1_{7C40963E-D909-416B-A0DA-6975FE8EC327}" xr6:coauthVersionLast="47" xr6:coauthVersionMax="47" xr10:uidLastSave="{00000000-0000-0000-0000-000000000000}"/>
  <bookViews>
    <workbookView xWindow="-108" yWindow="-108" windowWidth="23256" windowHeight="12456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</calcChain>
</file>

<file path=xl/sharedStrings.xml><?xml version="1.0" encoding="utf-8"?>
<sst xmlns="http://schemas.openxmlformats.org/spreadsheetml/2006/main" count="58" uniqueCount="48">
  <si>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</si>
  <si>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</si>
  <si>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</si>
  <si>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</si>
  <si>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</si>
  <si>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</si>
  <si>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</si>
  <si>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</si>
  <si>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</si>
  <si>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</si>
  <si>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</si>
  <si>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</si>
  <si>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</si>
  <si>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</si>
  <si>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</si>
  <si>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</si>
  <si>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</si>
  <si>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</si>
  <si>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Group: Final touches</t>
  </si>
  <si>
    <t>MCTR1: Design of carriage v2</t>
  </si>
  <si>
    <t>MCTR1: carriage v2 test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</si>
  <si>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</si>
  <si>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</si>
  <si>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</si>
  <si>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</si>
  <si>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</si>
  <si>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</si>
  <si>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</si>
  <si>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</si>
  <si>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</si>
  <si>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MCTR1: Carriage v2 build</t>
  </si>
  <si>
    <t>EEII1: ICD complete with REII and MCTR2</t>
  </si>
  <si>
    <t>EEII1:Working low voltage switching circuit in thevinin lab(one IGBT +driver +opto)</t>
  </si>
  <si>
    <r>
      <t xml:space="preserve">Group: First integration test                               </t>
    </r>
    <r>
      <rPr>
        <sz val="10"/>
        <color rgb="FF00B0F0"/>
        <rFont val="Seaford"/>
        <scheme val="minor"/>
      </rPr>
      <t>EEII1: Testing with PWM of REII in Heavy current lab</t>
    </r>
  </si>
  <si>
    <r>
      <t xml:space="preserve">MCTR1: Enclosure final + fit test                    </t>
    </r>
    <r>
      <rPr>
        <sz val="10"/>
        <color rgb="FF00B0F0"/>
        <rFont val="Seaford"/>
        <scheme val="minor"/>
      </rPr>
      <t xml:space="preserve"> </t>
    </r>
  </si>
  <si>
    <t xml:space="preserve"> EEII1: Final Drive circuit complete+DB box wired</t>
  </si>
  <si>
    <t>EEII1: PCB manufactured by MR van Huysteen</t>
  </si>
  <si>
    <t>EERI 324</t>
  </si>
  <si>
    <t>EERI 321</t>
  </si>
  <si>
    <r>
      <t xml:space="preserve">EERI 325             </t>
    </r>
    <r>
      <rPr>
        <sz val="10"/>
        <color theme="1"/>
        <rFont val="Seaford"/>
        <scheme val="minor"/>
      </rPr>
      <t>Group: Integration successful</t>
    </r>
  </si>
  <si>
    <t>MCTR1: Enclosure v1 test,  ICD complete with- REII, ICD complete with- MCTR2?</t>
  </si>
  <si>
    <t>Group: Finish performance test reports and Individual portfolios</t>
  </si>
  <si>
    <r>
      <t xml:space="preserve">EEII 321                 </t>
    </r>
    <r>
      <rPr>
        <sz val="10"/>
        <color theme="1"/>
        <rFont val="Seaford"/>
        <scheme val="minor"/>
      </rPr>
      <t>Group: Finalize all ICDs</t>
    </r>
  </si>
  <si>
    <t>MCTR2: Motor characterise in heavy current lab with avalable VFD's</t>
  </si>
  <si>
    <r>
      <t xml:space="preserve">MCTR1: Carriage motor drive test, carriage v3 test </t>
    </r>
    <r>
      <rPr>
        <sz val="10"/>
        <color rgb="FF00B0F0"/>
        <rFont val="Seaford"/>
        <scheme val="minor"/>
      </rPr>
      <t xml:space="preserve">EEII1:Order heat sinks and power supply(at the latest) </t>
    </r>
    <r>
      <rPr>
        <sz val="10"/>
        <color theme="1"/>
        <rFont val="Seaford"/>
        <scheme val="minor"/>
      </rPr>
      <t>MCTR2: Starting with all final draft printing parts</t>
    </r>
  </si>
  <si>
    <t>MCTR2: Start with gearbox casing build</t>
  </si>
  <si>
    <t>EERI321: PRACTICAL 2 submission</t>
  </si>
  <si>
    <t>EERI321: Semester 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</si>
</sst>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42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  <font>
      <sz val="10"/>
      <color rgb="FF00B0F0"/>
      <name val="Seaford"/>
      <scheme val="minor"/>
    </font>
    <font>
      <sz val="10"/>
      <color rgb="FF7030A0"/>
      <name val="Seaford"/>
      <scheme val="minor"/>
    </font>
    <font>
      <sz val="10"/>
      <color theme="1"/>
      <name val="Seaford"/>
      <scheme val="minor"/>
    </font>
    <font>
      <b/>
      <sz val="10"/>
      <color rgb="FFFF0000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59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8" fillId="2" borderId="4" xfId="0" applyFont="1" applyFill="1" applyBorder="1" applyAlignment="1">
      <alignment horizontal="left" vertical="center" indent="1"/>
    </xf>
    <xf numFmtId="0" fontId="8" fillId="2" borderId="5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4" fillId="0" borderId="5" xfId="0" applyFont="1" applyBorder="1" applyAlignment="1">
      <alignment horizontal="left" indent="1"/>
    </xf>
    <xf numFmtId="0" fontId="4" fillId="0" borderId="2" xfId="0" applyFont="1" applyBorder="1" applyAlignment="1">
      <alignment horizontal="left" inden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5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39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indent="1" shrinkToFi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30" fillId="4" borderId="0" xfId="0" applyFont="1" applyFill="1" applyAlignment="1">
      <alignment horizontal="center" vertical="center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8" fillId="2" borderId="2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top" wrapText="1" indent="1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38" fillId="2" borderId="4" xfId="0" applyFont="1" applyFill="1" applyBorder="1" applyAlignment="1">
      <alignment horizontal="left" vertical="top" wrapText="1" indent="1"/>
    </xf>
    <xf numFmtId="0" fontId="37" fillId="5" borderId="5" xfId="0" applyFont="1" applyFill="1" applyBorder="1" applyAlignment="1">
      <alignment horizontal="left" vertical="top" wrapText="1" indent="1"/>
    </xf>
    <xf numFmtId="0" fontId="41" fillId="2" borderId="4" xfId="0" applyFont="1" applyFill="1" applyBorder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6640625" defaultRowHeight="15.6" x14ac:dyDescent="0.3"/>
  <cols>
    <col min="1" max="4" width="5.5546875" style="3" customWidth="1"/>
    <col min="5" max="9" width="10.5546875" style="3" customWidth="1"/>
    <col min="10" max="11" width="10.5546875" style="28" customWidth="1"/>
    <col min="12" max="14" width="5.5546875" style="3" customWidth="1"/>
    <col min="15" max="15" width="25.5546875" style="3" customWidth="1"/>
    <col min="16" max="16" width="10.5546875" style="3" customWidth="1"/>
    <col min="17" max="18" width="5.5546875" style="3" customWidth="1"/>
    <col min="19" max="16384" width="8.6640625" style="3"/>
  </cols>
  <sheetData>
    <row r="1" spans="1:18" ht="24.9" customHeight="1" x14ac:dyDescent="0.3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25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" customHeight="1" x14ac:dyDescent="1.1000000000000001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3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43" t="s">
        <v>10</v>
      </c>
      <c r="O4" s="143"/>
      <c r="P4" s="143"/>
      <c r="Q4" s="143"/>
      <c r="R4" s="1"/>
    </row>
    <row r="5" spans="1:18" ht="30" customHeight="1" x14ac:dyDescent="0.3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43"/>
      <c r="O5" s="143"/>
      <c r="P5" s="143"/>
      <c r="Q5" s="143"/>
      <c r="R5" s="1"/>
    </row>
    <row r="6" spans="1:18" ht="30" customHeight="1" x14ac:dyDescent="0.3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43"/>
      <c r="O6" s="143"/>
      <c r="P6" s="143"/>
      <c r="Q6" s="143"/>
      <c r="R6" s="1"/>
    </row>
    <row r="7" spans="1:18" ht="30" customHeight="1" x14ac:dyDescent="0.3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3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3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3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3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3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3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3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6640625" defaultRowHeight="13.8" x14ac:dyDescent="0.3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1.1000000000000001">
      <c r="A2" s="29"/>
      <c r="C2" s="112">
        <f ca="1">DATE(About!P8,9,1)</f>
        <v>46266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F2" s="29"/>
    </row>
    <row r="3" spans="1:36" s="32" customFormat="1" ht="24.9" customHeight="1" x14ac:dyDescent="1.1000000000000001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5">
      <c r="A4" s="35"/>
      <c r="C4" s="113">
        <f ca="1">C5</f>
        <v>46264</v>
      </c>
      <c r="D4" s="113"/>
      <c r="E4" s="113">
        <f ca="1">E5</f>
        <v>46265</v>
      </c>
      <c r="F4" s="113"/>
      <c r="G4" s="113">
        <f ca="1">G5</f>
        <v>46266</v>
      </c>
      <c r="H4" s="113"/>
      <c r="I4" s="113">
        <f ca="1">I5</f>
        <v>46267</v>
      </c>
      <c r="J4" s="113"/>
      <c r="K4" s="113">
        <f ca="1">K5</f>
        <v>46268</v>
      </c>
      <c r="L4" s="113"/>
      <c r="M4" s="113"/>
      <c r="N4" s="37"/>
      <c r="O4" s="113">
        <f ca="1">O5</f>
        <v>46269</v>
      </c>
      <c r="P4" s="113"/>
      <c r="Q4" s="113"/>
      <c r="R4" s="113"/>
      <c r="S4" s="113"/>
      <c r="T4" s="113"/>
      <c r="U4" s="113"/>
      <c r="V4" s="113"/>
      <c r="W4" s="113">
        <f ca="1">W5</f>
        <v>46270</v>
      </c>
      <c r="X4" s="113"/>
      <c r="Y4" s="113"/>
      <c r="Z4" s="113"/>
      <c r="AA4" s="113"/>
      <c r="AB4" s="113"/>
      <c r="AC4" s="113"/>
      <c r="AD4" s="113"/>
      <c r="AF4" s="38"/>
      <c r="AG4" s="39"/>
      <c r="AH4" s="39"/>
      <c r="AI4" s="39"/>
      <c r="AJ4" s="39"/>
    </row>
    <row r="5" spans="1:36" ht="24.9" customHeight="1" x14ac:dyDescent="0.3">
      <c r="A5" s="1"/>
      <c r="C5" s="90">
        <f ca="1">$C$2-(WEEKDAY($C$2,1)-(start_day-1))-IF((WEEKDAY($C$2,1)-(start_day-1))&lt;=0,7,0)+1</f>
        <v>46264</v>
      </c>
      <c r="D5" s="91"/>
      <c r="E5" s="90">
        <f ca="1">C5+1</f>
        <v>46265</v>
      </c>
      <c r="F5" s="91"/>
      <c r="G5" s="90">
        <f ca="1">E5+1</f>
        <v>46266</v>
      </c>
      <c r="H5" s="91"/>
      <c r="I5" s="90">
        <f ca="1">G5+1</f>
        <v>46267</v>
      </c>
      <c r="J5" s="91"/>
      <c r="K5" s="90">
        <f ca="1">I5+1</f>
        <v>46268</v>
      </c>
      <c r="L5" s="114"/>
      <c r="M5" s="114"/>
      <c r="N5" s="74"/>
      <c r="O5" s="90">
        <f ca="1">K5+1</f>
        <v>46269</v>
      </c>
      <c r="P5" s="114"/>
      <c r="Q5" s="114"/>
      <c r="R5" s="114"/>
      <c r="S5" s="114"/>
      <c r="T5" s="114"/>
      <c r="U5" s="114"/>
      <c r="V5" s="91"/>
      <c r="W5" s="90">
        <f ca="1">O5+1</f>
        <v>46270</v>
      </c>
      <c r="X5" s="114"/>
      <c r="Y5" s="114"/>
      <c r="Z5" s="114"/>
      <c r="AA5" s="114"/>
      <c r="AB5" s="114"/>
      <c r="AC5" s="114"/>
      <c r="AD5" s="91"/>
      <c r="AF5" s="40"/>
      <c r="AG5" s="41"/>
      <c r="AH5" s="41"/>
      <c r="AI5" s="41"/>
      <c r="AJ5" s="41"/>
    </row>
    <row r="6" spans="1:36" s="43" customFormat="1" ht="75" customHeight="1" x14ac:dyDescent="0.25">
      <c r="A6" s="42"/>
      <c r="C6" s="83"/>
      <c r="D6" s="85"/>
      <c r="E6" s="83"/>
      <c r="F6" s="85"/>
      <c r="G6" s="150"/>
      <c r="H6" s="151"/>
      <c r="I6" s="150"/>
      <c r="J6" s="151"/>
      <c r="K6" s="150"/>
      <c r="L6" s="152"/>
      <c r="M6" s="152"/>
      <c r="N6" s="151"/>
      <c r="O6" s="150"/>
      <c r="P6" s="152"/>
      <c r="Q6" s="152"/>
      <c r="R6" s="152"/>
      <c r="S6" s="152"/>
      <c r="T6" s="152"/>
      <c r="U6" s="152"/>
      <c r="V6" s="151"/>
      <c r="W6" s="150"/>
      <c r="X6" s="152"/>
      <c r="Y6" s="152"/>
      <c r="Z6" s="152"/>
      <c r="AA6" s="152"/>
      <c r="AB6" s="152"/>
      <c r="AC6" s="152"/>
      <c r="AD6" s="151"/>
      <c r="AE6" s="7"/>
      <c r="AF6" s="42"/>
    </row>
    <row r="7" spans="1:36" ht="9.9" customHeight="1" x14ac:dyDescent="0.3">
      <c r="A7" s="1"/>
      <c r="C7" s="90">
        <f ca="1">W5+1</f>
        <v>46271</v>
      </c>
      <c r="D7" s="91"/>
      <c r="E7" s="153"/>
      <c r="F7" s="154"/>
      <c r="G7" s="153"/>
      <c r="H7" s="154"/>
      <c r="I7" s="153"/>
      <c r="J7" s="154"/>
      <c r="K7" s="153"/>
      <c r="L7" s="155"/>
      <c r="M7" s="155"/>
      <c r="N7" s="75"/>
      <c r="O7" s="153"/>
      <c r="P7" s="155"/>
      <c r="Q7" s="155"/>
      <c r="R7" s="155"/>
      <c r="S7" s="155"/>
      <c r="T7" s="155"/>
      <c r="U7" s="155"/>
      <c r="V7" s="154"/>
      <c r="W7" s="153"/>
      <c r="X7" s="155"/>
      <c r="Y7" s="155"/>
      <c r="Z7" s="155"/>
      <c r="AA7" s="155"/>
      <c r="AB7" s="155"/>
      <c r="AC7" s="155"/>
      <c r="AD7" s="154"/>
      <c r="AF7" s="1"/>
    </row>
    <row r="8" spans="1:36" s="7" customFormat="1" ht="15" customHeight="1" x14ac:dyDescent="0.25">
      <c r="A8" s="4"/>
      <c r="C8" s="90"/>
      <c r="D8" s="91"/>
      <c r="E8" s="94">
        <f ca="1">C7+1</f>
        <v>46272</v>
      </c>
      <c r="F8" s="95"/>
      <c r="G8" s="94">
        <f ca="1">E8+1</f>
        <v>46273</v>
      </c>
      <c r="H8" s="95"/>
      <c r="I8" s="94">
        <f ca="1">G8+1</f>
        <v>46274</v>
      </c>
      <c r="J8" s="95"/>
      <c r="K8" s="94">
        <f ca="1">I8+1</f>
        <v>46275</v>
      </c>
      <c r="L8" s="96"/>
      <c r="M8" s="96"/>
      <c r="N8" s="50"/>
      <c r="O8" s="94">
        <f ca="1">K8+1</f>
        <v>46276</v>
      </c>
      <c r="P8" s="96"/>
      <c r="Q8" s="96"/>
      <c r="R8" s="96"/>
      <c r="S8" s="96"/>
      <c r="T8" s="96"/>
      <c r="U8" s="96"/>
      <c r="V8" s="95"/>
      <c r="W8" s="94">
        <f ca="1">O8+1</f>
        <v>46277</v>
      </c>
      <c r="X8" s="96"/>
      <c r="Y8" s="96"/>
      <c r="Z8" s="96"/>
      <c r="AA8" s="96"/>
      <c r="AB8" s="96"/>
      <c r="AC8" s="96"/>
      <c r="AD8" s="95"/>
      <c r="AF8" s="4"/>
    </row>
    <row r="9" spans="1:36" s="43" customFormat="1" ht="75" customHeight="1" x14ac:dyDescent="0.25">
      <c r="A9" s="42"/>
      <c r="C9" s="150"/>
      <c r="D9" s="151"/>
      <c r="E9" s="150"/>
      <c r="F9" s="151"/>
      <c r="G9" s="150"/>
      <c r="H9" s="151"/>
      <c r="I9" s="150"/>
      <c r="J9" s="151"/>
      <c r="K9" s="150"/>
      <c r="L9" s="152"/>
      <c r="M9" s="152"/>
      <c r="N9" s="151"/>
      <c r="O9" s="150"/>
      <c r="P9" s="152"/>
      <c r="Q9" s="152"/>
      <c r="R9" s="152"/>
      <c r="S9" s="152"/>
      <c r="T9" s="152"/>
      <c r="U9" s="152"/>
      <c r="V9" s="151"/>
      <c r="W9" s="150"/>
      <c r="X9" s="152"/>
      <c r="Y9" s="152"/>
      <c r="Z9" s="152"/>
      <c r="AA9" s="152"/>
      <c r="AB9" s="152"/>
      <c r="AC9" s="152"/>
      <c r="AD9" s="151"/>
      <c r="AE9" s="7"/>
      <c r="AF9" s="42"/>
    </row>
    <row r="10" spans="1:36" s="43" customFormat="1" ht="9.9" customHeight="1" x14ac:dyDescent="0.25">
      <c r="A10" s="42"/>
      <c r="C10" s="90">
        <f ca="1">W8+1</f>
        <v>46278</v>
      </c>
      <c r="D10" s="91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3">
      <c r="A11" s="4"/>
      <c r="C11" s="90"/>
      <c r="D11" s="91"/>
      <c r="E11" s="94">
        <f ca="1">C10+1</f>
        <v>46279</v>
      </c>
      <c r="F11" s="95"/>
      <c r="G11" s="94">
        <f ca="1">E11+1</f>
        <v>46280</v>
      </c>
      <c r="H11" s="95"/>
      <c r="I11" s="94">
        <f ca="1">G11+1</f>
        <v>46281</v>
      </c>
      <c r="J11" s="95"/>
      <c r="K11" s="94">
        <f ca="1">I11+1</f>
        <v>46282</v>
      </c>
      <c r="L11" s="96"/>
      <c r="M11" s="96"/>
      <c r="N11" s="50"/>
      <c r="O11" s="94">
        <f ca="1">K11+1</f>
        <v>46283</v>
      </c>
      <c r="P11" s="96"/>
      <c r="Q11" s="96"/>
      <c r="R11" s="96"/>
      <c r="S11" s="96"/>
      <c r="T11" s="96"/>
      <c r="U11" s="96"/>
      <c r="V11" s="95"/>
      <c r="W11" s="94">
        <f ca="1">O11+1</f>
        <v>46284</v>
      </c>
      <c r="X11" s="96"/>
      <c r="Y11" s="96"/>
      <c r="Z11" s="96"/>
      <c r="AA11" s="96"/>
      <c r="AB11" s="96"/>
      <c r="AC11" s="96"/>
      <c r="AD11" s="95"/>
      <c r="AF11" s="4"/>
      <c r="AJ11" s="3"/>
    </row>
    <row r="12" spans="1:36" s="43" customFormat="1" ht="75" customHeight="1" x14ac:dyDescent="0.25">
      <c r="A12" s="42"/>
      <c r="C12" s="150"/>
      <c r="D12" s="151"/>
      <c r="E12" s="150"/>
      <c r="F12" s="151"/>
      <c r="G12" s="150"/>
      <c r="H12" s="151"/>
      <c r="I12" s="150"/>
      <c r="J12" s="151"/>
      <c r="K12" s="150"/>
      <c r="L12" s="152"/>
      <c r="M12" s="152"/>
      <c r="N12" s="151"/>
      <c r="O12" s="150"/>
      <c r="P12" s="152"/>
      <c r="Q12" s="152"/>
      <c r="R12" s="152"/>
      <c r="S12" s="152"/>
      <c r="T12" s="152"/>
      <c r="U12" s="152"/>
      <c r="V12" s="151"/>
      <c r="W12" s="150"/>
      <c r="X12" s="152"/>
      <c r="Y12" s="152"/>
      <c r="Z12" s="152"/>
      <c r="AA12" s="152"/>
      <c r="AB12" s="152"/>
      <c r="AC12" s="152"/>
      <c r="AD12" s="151"/>
      <c r="AE12" s="7"/>
      <c r="AF12" s="42"/>
    </row>
    <row r="13" spans="1:36" s="43" customFormat="1" ht="9.9" customHeight="1" x14ac:dyDescent="0.25">
      <c r="A13" s="42"/>
      <c r="C13" s="90">
        <f ca="1">W11+1</f>
        <v>46285</v>
      </c>
      <c r="D13" s="91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5">
      <c r="A14" s="4"/>
      <c r="C14" s="90"/>
      <c r="D14" s="91"/>
      <c r="E14" s="94">
        <f ca="1">C13+1</f>
        <v>46286</v>
      </c>
      <c r="F14" s="95"/>
      <c r="G14" s="94">
        <f ca="1">E14+1</f>
        <v>46287</v>
      </c>
      <c r="H14" s="95"/>
      <c r="I14" s="94">
        <f ca="1">G14+1</f>
        <v>46288</v>
      </c>
      <c r="J14" s="95"/>
      <c r="K14" s="94">
        <f ca="1">I14+1</f>
        <v>46289</v>
      </c>
      <c r="L14" s="96"/>
      <c r="M14" s="96"/>
      <c r="N14" s="50"/>
      <c r="O14" s="94">
        <f ca="1">K14+1</f>
        <v>46290</v>
      </c>
      <c r="P14" s="96"/>
      <c r="Q14" s="96"/>
      <c r="R14" s="96"/>
      <c r="S14" s="96"/>
      <c r="T14" s="96"/>
      <c r="U14" s="96"/>
      <c r="V14" s="95"/>
      <c r="W14" s="94">
        <f ca="1">O14+1</f>
        <v>46291</v>
      </c>
      <c r="X14" s="96"/>
      <c r="Y14" s="96"/>
      <c r="Z14" s="96"/>
      <c r="AA14" s="96"/>
      <c r="AB14" s="96"/>
      <c r="AC14" s="96"/>
      <c r="AD14" s="95"/>
      <c r="AF14" s="4"/>
    </row>
    <row r="15" spans="1:36" s="43" customFormat="1" ht="162.9" customHeight="1" x14ac:dyDescent="0.25">
      <c r="A15" s="42"/>
      <c r="C15" s="150"/>
      <c r="D15" s="151"/>
      <c r="E15" s="150"/>
      <c r="F15" s="151"/>
      <c r="G15" s="150"/>
      <c r="H15" s="151"/>
      <c r="I15" s="146"/>
      <c r="J15" s="147"/>
      <c r="K15" s="146"/>
      <c r="L15" s="149"/>
      <c r="M15" s="149"/>
      <c r="N15" s="147"/>
      <c r="O15" s="146"/>
      <c r="P15" s="149"/>
      <c r="Q15" s="149"/>
      <c r="R15" s="149"/>
      <c r="S15" s="149"/>
      <c r="T15" s="149"/>
      <c r="U15" s="149"/>
      <c r="V15" s="147"/>
      <c r="W15" s="146"/>
      <c r="X15" s="149"/>
      <c r="Y15" s="149"/>
      <c r="Z15" s="149"/>
      <c r="AA15" s="149"/>
      <c r="AB15" s="149"/>
      <c r="AC15" s="149"/>
      <c r="AD15" s="147"/>
      <c r="AE15" s="7"/>
      <c r="AF15" s="42"/>
    </row>
    <row r="16" spans="1:36" s="43" customFormat="1" ht="9.9" customHeight="1" x14ac:dyDescent="0.25">
      <c r="A16" s="42"/>
      <c r="C16" s="90">
        <f ca="1">W14+1</f>
        <v>46292</v>
      </c>
      <c r="D16" s="91"/>
      <c r="E16" s="45"/>
      <c r="F16" s="75"/>
      <c r="G16" s="45"/>
      <c r="H16" s="75"/>
      <c r="I16" s="92"/>
      <c r="J16" s="93"/>
      <c r="K16" s="66"/>
      <c r="L16" s="68"/>
      <c r="M16" s="68"/>
      <c r="N16" s="67"/>
      <c r="O16" s="92"/>
      <c r="P16" s="148"/>
      <c r="Q16" s="148"/>
      <c r="R16" s="148"/>
      <c r="S16" s="148"/>
      <c r="T16" s="148"/>
      <c r="U16" s="148"/>
      <c r="V16" s="93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5">
      <c r="A17" s="4"/>
      <c r="C17" s="90"/>
      <c r="D17" s="91"/>
      <c r="E17" s="94">
        <f ca="1">C16+1</f>
        <v>46293</v>
      </c>
      <c r="F17" s="95"/>
      <c r="G17" s="94">
        <f ca="1">E17+1</f>
        <v>46294</v>
      </c>
      <c r="H17" s="95"/>
      <c r="I17" s="94">
        <f ca="1">G17+1</f>
        <v>46295</v>
      </c>
      <c r="J17" s="95"/>
      <c r="K17" s="46">
        <f ca="1">I17+1</f>
        <v>46296</v>
      </c>
      <c r="L17" s="51"/>
      <c r="M17" s="51"/>
      <c r="N17" s="69"/>
      <c r="O17" s="94">
        <f ca="1">K17+1</f>
        <v>46297</v>
      </c>
      <c r="P17" s="96"/>
      <c r="Q17" s="96"/>
      <c r="R17" s="96"/>
      <c r="S17" s="96"/>
      <c r="T17" s="96"/>
      <c r="U17" s="96"/>
      <c r="V17" s="95"/>
      <c r="W17" s="94">
        <f ca="1">O17+1</f>
        <v>46298</v>
      </c>
      <c r="X17" s="96"/>
      <c r="Y17" s="96"/>
      <c r="Z17" s="96"/>
      <c r="AA17" s="96"/>
      <c r="AB17" s="96"/>
      <c r="AC17" s="96"/>
      <c r="AD17" s="95"/>
      <c r="AF17" s="4"/>
    </row>
    <row r="18" spans="1:42" s="43" customFormat="1" ht="147.30000000000001" customHeight="1" x14ac:dyDescent="0.3">
      <c r="A18" s="42"/>
      <c r="C18" s="144" t="s">
        <v>19</v>
      </c>
      <c r="D18" s="145"/>
      <c r="E18" s="146"/>
      <c r="F18" s="147"/>
      <c r="G18" s="146"/>
      <c r="H18" s="147"/>
      <c r="I18" s="144" t="s">
        <v>17</v>
      </c>
      <c r="J18" s="145"/>
      <c r="K18" s="70"/>
      <c r="L18" s="71"/>
      <c r="M18" s="71"/>
      <c r="N18" s="72"/>
      <c r="O18" s="83"/>
      <c r="P18" s="84"/>
      <c r="Q18" s="84"/>
      <c r="R18" s="84"/>
      <c r="S18" s="84"/>
      <c r="T18" s="84"/>
      <c r="U18" s="84"/>
      <c r="V18" s="85"/>
      <c r="W18" s="83"/>
      <c r="X18" s="84"/>
      <c r="Y18" s="84"/>
      <c r="Z18" s="84"/>
      <c r="AA18" s="84"/>
      <c r="AB18" s="84"/>
      <c r="AC18" s="84"/>
      <c r="AD18" s="85"/>
      <c r="AE18" s="7"/>
      <c r="AF18" s="42"/>
      <c r="AP18" s="3"/>
    </row>
    <row r="19" spans="1:42" s="43" customFormat="1" ht="9.9" customHeight="1" x14ac:dyDescent="0.25">
      <c r="A19" s="42"/>
      <c r="C19" s="90">
        <f ca="1">W17+1</f>
        <v>46299</v>
      </c>
      <c r="D19" s="91"/>
      <c r="E19" s="45"/>
      <c r="F19" s="75"/>
      <c r="G19" s="45"/>
      <c r="H19" s="75"/>
      <c r="I19" s="92"/>
      <c r="J19" s="93"/>
      <c r="K19" s="66"/>
      <c r="L19" s="68"/>
      <c r="M19" s="68"/>
      <c r="N19" s="67"/>
      <c r="O19" s="92"/>
      <c r="P19" s="148"/>
      <c r="Q19" s="148"/>
      <c r="R19" s="148"/>
      <c r="S19" s="148"/>
      <c r="T19" s="148"/>
      <c r="U19" s="148"/>
      <c r="V19" s="93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5">
      <c r="A20" s="4"/>
      <c r="C20" s="90"/>
      <c r="D20" s="91"/>
      <c r="E20" s="94">
        <f ca="1">C19+1</f>
        <v>46300</v>
      </c>
      <c r="F20" s="95"/>
      <c r="G20" s="94">
        <f ca="1">E20+1</f>
        <v>46301</v>
      </c>
      <c r="H20" s="95"/>
      <c r="I20" s="94">
        <f ca="1">G20+1</f>
        <v>46302</v>
      </c>
      <c r="J20" s="95"/>
      <c r="K20" s="46">
        <f ca="1">I20+1</f>
        <v>46303</v>
      </c>
      <c r="L20" s="51"/>
      <c r="M20" s="51"/>
      <c r="N20" s="69"/>
      <c r="O20" s="94">
        <f ca="1">K20+1</f>
        <v>46304</v>
      </c>
      <c r="P20" s="96"/>
      <c r="Q20" s="96"/>
      <c r="R20" s="96"/>
      <c r="S20" s="96"/>
      <c r="T20" s="96"/>
      <c r="U20" s="96"/>
      <c r="V20" s="95"/>
      <c r="W20" s="94">
        <f ca="1">O20+1</f>
        <v>46305</v>
      </c>
      <c r="X20" s="96"/>
      <c r="Y20" s="96"/>
      <c r="Z20" s="96"/>
      <c r="AA20" s="96"/>
      <c r="AB20" s="96"/>
      <c r="AC20" s="96"/>
      <c r="AD20" s="95"/>
      <c r="AF20" s="4"/>
    </row>
    <row r="21" spans="1:42" s="43" customFormat="1" ht="166.8" customHeight="1" x14ac:dyDescent="0.3">
      <c r="A21" s="42"/>
      <c r="C21" s="83"/>
      <c r="D21" s="85"/>
      <c r="E21" s="83"/>
      <c r="F21" s="85"/>
      <c r="G21" s="83"/>
      <c r="H21" s="85"/>
      <c r="I21" s="83"/>
      <c r="J21" s="85"/>
      <c r="K21" s="70"/>
      <c r="L21" s="71"/>
      <c r="M21" s="71"/>
      <c r="N21" s="72"/>
      <c r="O21" s="83"/>
      <c r="P21" s="84"/>
      <c r="Q21" s="84"/>
      <c r="R21" s="84"/>
      <c r="S21" s="84"/>
      <c r="T21" s="84"/>
      <c r="U21" s="84"/>
      <c r="V21" s="85"/>
      <c r="W21" s="83"/>
      <c r="X21" s="84"/>
      <c r="Y21" s="84"/>
      <c r="Z21" s="84"/>
      <c r="AA21" s="84"/>
      <c r="AB21" s="84"/>
      <c r="AC21" s="84"/>
      <c r="AD21" s="85"/>
      <c r="AE21" s="7"/>
      <c r="AF21" s="42"/>
      <c r="AP21" s="3"/>
    </row>
    <row r="22" spans="1:42" s="7" customFormat="1" ht="24.9" customHeight="1" x14ac:dyDescent="0.25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25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25">
      <c r="A24" s="1"/>
      <c r="M24" s="1"/>
      <c r="AF24" s="1"/>
    </row>
    <row r="25" spans="1:42" ht="20.100000000000001" customHeight="1" x14ac:dyDescent="0.25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46235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46296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5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5">
      <c r="A27" s="1"/>
      <c r="C27" s="88" t="s">
        <v>21</v>
      </c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25">
      <c r="A28" s="1"/>
      <c r="C28" s="89" t="s">
        <v>22</v>
      </c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25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25">
      <c r="A30" s="1"/>
      <c r="C30" s="89" t="s">
        <v>23</v>
      </c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25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ht="13.2" x14ac:dyDescent="0.25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ht="13.2" x14ac:dyDescent="0.2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thickBot="1" x14ac:dyDescent="0.3"/>
    <row r="39" spans="1:32" ht="12.6" customHeight="1" x14ac:dyDescent="0.25">
      <c r="D39" s="115" t="s">
        <v>24</v>
      </c>
      <c r="E39" s="116"/>
      <c r="F39" s="117"/>
      <c r="G39" s="121">
        <f ca="1">ROUNDDOWN((DATE(2026,11,13)-TODAY())/7,0)</f>
        <v>5</v>
      </c>
      <c r="H39" s="122"/>
      <c r="I39" s="115" t="s">
        <v>27</v>
      </c>
      <c r="J39" s="125"/>
      <c r="K39" s="127" t="s">
        <v>25</v>
      </c>
      <c r="L39" s="128"/>
      <c r="M39" s="131">
        <f ca="1">7*(((DATE(2026,11,13)-TODAY())/7)-ROUNDDOWN((DATE(2026,11,13)-TODAY())/7,0))</f>
        <v>5.0000000000000009</v>
      </c>
      <c r="N39" s="132"/>
      <c r="O39" s="132"/>
      <c r="P39" s="132"/>
      <c r="Q39" s="132"/>
      <c r="R39" s="133"/>
      <c r="S39" s="137" t="s">
        <v>26</v>
      </c>
      <c r="T39" s="138"/>
      <c r="U39" s="138"/>
      <c r="V39" s="138"/>
      <c r="W39" s="138"/>
      <c r="X39" s="139"/>
    </row>
    <row r="40" spans="1:32" ht="12.9" customHeight="1" thickBot="1" x14ac:dyDescent="0.3">
      <c r="D40" s="118"/>
      <c r="E40" s="119"/>
      <c r="F40" s="120"/>
      <c r="G40" s="123"/>
      <c r="H40" s="124"/>
      <c r="I40" s="118"/>
      <c r="J40" s="126"/>
      <c r="K40" s="129"/>
      <c r="L40" s="130"/>
      <c r="M40" s="134"/>
      <c r="N40" s="135"/>
      <c r="O40" s="135"/>
      <c r="P40" s="135"/>
      <c r="Q40" s="135"/>
      <c r="R40" s="136"/>
      <c r="S40" s="140"/>
      <c r="T40" s="141"/>
      <c r="U40" s="141"/>
      <c r="V40" s="141"/>
      <c r="W40" s="141"/>
      <c r="X40" s="142"/>
    </row>
  </sheetData>
  <mergeCells count="110"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abSelected="1" topLeftCell="A6" zoomScaleNormal="100" workbookViewId="0">
      <selection activeCell="AG12" sqref="AG12"/>
    </sheetView>
  </sheetViews>
  <sheetFormatPr defaultColWidth="8.6640625" defaultRowHeight="13.8" x14ac:dyDescent="0.3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1.1000000000000001">
      <c r="A2" s="29"/>
      <c r="C2" s="112">
        <f ca="1">DATE(About!P8,10,1)</f>
        <v>46296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F2" s="29"/>
    </row>
    <row r="3" spans="1:36" s="32" customFormat="1" ht="24.9" customHeight="1" x14ac:dyDescent="1.1000000000000001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5">
      <c r="A4" s="35"/>
      <c r="C4" s="113">
        <f ca="1">C5</f>
        <v>46292</v>
      </c>
      <c r="D4" s="113"/>
      <c r="E4" s="113">
        <f ca="1">E5</f>
        <v>46293</v>
      </c>
      <c r="F4" s="113"/>
      <c r="G4" s="113">
        <f ca="1">G5</f>
        <v>46294</v>
      </c>
      <c r="H4" s="113"/>
      <c r="I4" s="113">
        <f ca="1">I5</f>
        <v>46295</v>
      </c>
      <c r="J4" s="113"/>
      <c r="K4" s="113">
        <f ca="1">K5</f>
        <v>46296</v>
      </c>
      <c r="L4" s="113"/>
      <c r="M4" s="113"/>
      <c r="N4" s="37"/>
      <c r="O4" s="113">
        <f ca="1">O5</f>
        <v>46297</v>
      </c>
      <c r="P4" s="113"/>
      <c r="Q4" s="113"/>
      <c r="R4" s="113"/>
      <c r="S4" s="113"/>
      <c r="T4" s="113"/>
      <c r="U4" s="113"/>
      <c r="V4" s="113"/>
      <c r="W4" s="113">
        <f ca="1">W5</f>
        <v>46298</v>
      </c>
      <c r="X4" s="113"/>
      <c r="Y4" s="113"/>
      <c r="Z4" s="113"/>
      <c r="AA4" s="113"/>
      <c r="AB4" s="113"/>
      <c r="AC4" s="113"/>
      <c r="AD4" s="113"/>
      <c r="AF4" s="38"/>
      <c r="AG4" s="39"/>
      <c r="AH4" s="39"/>
      <c r="AI4" s="39"/>
      <c r="AJ4" s="39"/>
    </row>
    <row r="5" spans="1:36" ht="24.9" customHeight="1" x14ac:dyDescent="0.3">
      <c r="A5" s="1"/>
      <c r="C5" s="90">
        <f ca="1">$C$2-(WEEKDAY($C$2,1)-(start_day-1))-IF((WEEKDAY($C$2,1)-(start_day-1))&lt;=0,7,0)+1</f>
        <v>46292</v>
      </c>
      <c r="D5" s="91"/>
      <c r="E5" s="90">
        <f ca="1">C5+1</f>
        <v>46293</v>
      </c>
      <c r="F5" s="91"/>
      <c r="G5" s="90">
        <f ca="1">E5+1</f>
        <v>46294</v>
      </c>
      <c r="H5" s="91"/>
      <c r="I5" s="90">
        <f ca="1">G5+1</f>
        <v>46295</v>
      </c>
      <c r="J5" s="91"/>
      <c r="K5" s="90">
        <f ca="1">I5+1</f>
        <v>46296</v>
      </c>
      <c r="L5" s="114"/>
      <c r="M5" s="114"/>
      <c r="N5" s="74"/>
      <c r="O5" s="90">
        <f ca="1">K5+1</f>
        <v>46297</v>
      </c>
      <c r="P5" s="114"/>
      <c r="Q5" s="114"/>
      <c r="R5" s="114"/>
      <c r="S5" s="114"/>
      <c r="T5" s="114"/>
      <c r="U5" s="114"/>
      <c r="V5" s="91"/>
      <c r="W5" s="90">
        <f ca="1">O5+1</f>
        <v>46298</v>
      </c>
      <c r="X5" s="114"/>
      <c r="Y5" s="114"/>
      <c r="Z5" s="114"/>
      <c r="AA5" s="114"/>
      <c r="AB5" s="114"/>
      <c r="AC5" s="114"/>
      <c r="AD5" s="91"/>
      <c r="AF5" s="40"/>
      <c r="AG5" s="41"/>
      <c r="AH5" s="41"/>
      <c r="AI5" s="41"/>
      <c r="AJ5" s="41"/>
    </row>
    <row r="6" spans="1:36" s="43" customFormat="1" ht="131.69999999999999" customHeight="1" x14ac:dyDescent="0.25">
      <c r="A6" s="42"/>
      <c r="C6" s="97"/>
      <c r="D6" s="99"/>
      <c r="E6" s="97"/>
      <c r="F6" s="99"/>
      <c r="G6" s="97"/>
      <c r="H6" s="99"/>
      <c r="I6" s="97"/>
      <c r="J6" s="99"/>
      <c r="K6" s="146"/>
      <c r="L6" s="149"/>
      <c r="M6" s="149"/>
      <c r="N6" s="147"/>
      <c r="O6" s="146"/>
      <c r="P6" s="149"/>
      <c r="Q6" s="149"/>
      <c r="R6" s="149"/>
      <c r="S6" s="149"/>
      <c r="T6" s="149"/>
      <c r="U6" s="149"/>
      <c r="V6" s="147"/>
      <c r="W6" s="144" t="s">
        <v>20</v>
      </c>
      <c r="X6" s="157"/>
      <c r="Y6" s="157"/>
      <c r="Z6" s="157"/>
      <c r="AA6" s="157"/>
      <c r="AB6" s="157"/>
      <c r="AC6" s="157"/>
      <c r="AD6" s="145"/>
      <c r="AE6" s="7"/>
      <c r="AF6" s="42"/>
    </row>
    <row r="7" spans="1:36" ht="9.9" customHeight="1" x14ac:dyDescent="0.3">
      <c r="A7" s="1"/>
      <c r="C7" s="90">
        <f ca="1">W5+1</f>
        <v>46299</v>
      </c>
      <c r="D7" s="91"/>
      <c r="E7" s="153"/>
      <c r="F7" s="154"/>
      <c r="G7" s="153"/>
      <c r="H7" s="154"/>
      <c r="I7" s="153"/>
      <c r="J7" s="154"/>
      <c r="K7" s="153"/>
      <c r="L7" s="155"/>
      <c r="M7" s="155"/>
      <c r="N7" s="75"/>
      <c r="O7" s="153"/>
      <c r="P7" s="155"/>
      <c r="Q7" s="155"/>
      <c r="R7" s="155"/>
      <c r="S7" s="155"/>
      <c r="T7" s="155"/>
      <c r="U7" s="155"/>
      <c r="V7" s="154"/>
      <c r="W7" s="153"/>
      <c r="X7" s="155"/>
      <c r="Y7" s="155"/>
      <c r="Z7" s="155"/>
      <c r="AA7" s="155"/>
      <c r="AB7" s="155"/>
      <c r="AC7" s="155"/>
      <c r="AD7" s="154"/>
      <c r="AF7" s="1"/>
    </row>
    <row r="8" spans="1:36" s="7" customFormat="1" ht="15" customHeight="1" x14ac:dyDescent="0.25">
      <c r="A8" s="4"/>
      <c r="C8" s="90"/>
      <c r="D8" s="91"/>
      <c r="E8" s="94">
        <f ca="1">C7+1</f>
        <v>46300</v>
      </c>
      <c r="F8" s="95"/>
      <c r="G8" s="94">
        <f ca="1">E8+1</f>
        <v>46301</v>
      </c>
      <c r="H8" s="95"/>
      <c r="I8" s="94">
        <f ca="1">G8+1</f>
        <v>46302</v>
      </c>
      <c r="J8" s="95"/>
      <c r="K8" s="94">
        <f ca="1">I8+1</f>
        <v>46303</v>
      </c>
      <c r="L8" s="96"/>
      <c r="M8" s="96"/>
      <c r="N8" s="50"/>
      <c r="O8" s="94">
        <f ca="1">K8+1</f>
        <v>46304</v>
      </c>
      <c r="P8" s="96"/>
      <c r="Q8" s="96"/>
      <c r="R8" s="96"/>
      <c r="S8" s="96"/>
      <c r="T8" s="96"/>
      <c r="U8" s="96"/>
      <c r="V8" s="95"/>
      <c r="W8" s="94">
        <f ca="1">O8+1</f>
        <v>46305</v>
      </c>
      <c r="X8" s="96"/>
      <c r="Y8" s="96"/>
      <c r="Z8" s="96"/>
      <c r="AA8" s="96"/>
      <c r="AB8" s="96"/>
      <c r="AC8" s="96"/>
      <c r="AD8" s="95"/>
      <c r="AF8" s="4"/>
    </row>
    <row r="9" spans="1:36" s="43" customFormat="1" ht="149.69999999999999" customHeight="1" x14ac:dyDescent="0.25">
      <c r="A9" s="42"/>
      <c r="C9" s="105"/>
      <c r="D9" s="106"/>
      <c r="E9" s="105" t="s">
        <v>29</v>
      </c>
      <c r="F9" s="106"/>
      <c r="G9" s="105" t="s">
        <v>28</v>
      </c>
      <c r="H9" s="106"/>
      <c r="I9" s="105" t="s">
        <v>43</v>
      </c>
      <c r="J9" s="106"/>
      <c r="K9" s="105" t="s">
        <v>30</v>
      </c>
      <c r="L9" s="108"/>
      <c r="M9" s="108"/>
      <c r="N9" s="106"/>
      <c r="O9" s="105" t="s">
        <v>44</v>
      </c>
      <c r="P9" s="108"/>
      <c r="Q9" s="108"/>
      <c r="R9" s="108"/>
      <c r="S9" s="108"/>
      <c r="T9" s="108"/>
      <c r="U9" s="108"/>
      <c r="V9" s="106"/>
      <c r="W9" s="105"/>
      <c r="X9" s="108"/>
      <c r="Y9" s="108"/>
      <c r="Z9" s="108"/>
      <c r="AA9" s="108"/>
      <c r="AB9" s="108"/>
      <c r="AC9" s="108"/>
      <c r="AD9" s="106"/>
      <c r="AE9" s="7"/>
      <c r="AF9" s="42"/>
    </row>
    <row r="10" spans="1:36" s="43" customFormat="1" ht="9.9" customHeight="1" x14ac:dyDescent="0.25">
      <c r="A10" s="42"/>
      <c r="C10" s="90">
        <f ca="1">W8+1</f>
        <v>46306</v>
      </c>
      <c r="D10" s="91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3">
      <c r="A11" s="4"/>
      <c r="C11" s="90"/>
      <c r="D11" s="91"/>
      <c r="E11" s="94">
        <f ca="1">C10+1</f>
        <v>46307</v>
      </c>
      <c r="F11" s="95"/>
      <c r="G11" s="94">
        <f ca="1">E11+1</f>
        <v>46308</v>
      </c>
      <c r="H11" s="95"/>
      <c r="I11" s="94">
        <f ca="1">G11+1</f>
        <v>46309</v>
      </c>
      <c r="J11" s="95"/>
      <c r="K11" s="94">
        <f ca="1">I11+1</f>
        <v>46310</v>
      </c>
      <c r="L11" s="96"/>
      <c r="M11" s="96"/>
      <c r="N11" s="50"/>
      <c r="O11" s="94">
        <f ca="1">K11+1</f>
        <v>46311</v>
      </c>
      <c r="P11" s="96"/>
      <c r="Q11" s="96"/>
      <c r="R11" s="96"/>
      <c r="S11" s="96"/>
      <c r="T11" s="96"/>
      <c r="U11" s="96"/>
      <c r="V11" s="95"/>
      <c r="W11" s="94">
        <f ca="1">O11+1</f>
        <v>46312</v>
      </c>
      <c r="X11" s="96"/>
      <c r="Y11" s="96"/>
      <c r="Z11" s="96"/>
      <c r="AA11" s="96"/>
      <c r="AB11" s="96"/>
      <c r="AC11" s="96"/>
      <c r="AD11" s="95"/>
      <c r="AF11" s="4"/>
      <c r="AJ11" s="3"/>
    </row>
    <row r="12" spans="1:36" s="43" customFormat="1" ht="134.69999999999999" customHeight="1" x14ac:dyDescent="0.25">
      <c r="A12" s="42"/>
      <c r="C12" s="105"/>
      <c r="D12" s="106"/>
      <c r="E12" s="158" t="s">
        <v>46</v>
      </c>
      <c r="F12" s="106"/>
      <c r="G12" s="105" t="s">
        <v>45</v>
      </c>
      <c r="H12" s="106"/>
      <c r="I12" s="105"/>
      <c r="J12" s="106"/>
      <c r="K12" s="158" t="s">
        <v>47</v>
      </c>
      <c r="L12" s="108"/>
      <c r="M12" s="108"/>
      <c r="N12" s="106"/>
      <c r="O12" s="105" t="s">
        <v>40</v>
      </c>
      <c r="P12" s="108"/>
      <c r="Q12" s="108"/>
      <c r="R12" s="108"/>
      <c r="S12" s="108"/>
      <c r="T12" s="108"/>
      <c r="U12" s="108"/>
      <c r="V12" s="106"/>
      <c r="W12" s="156" t="s">
        <v>31</v>
      </c>
      <c r="X12" s="108"/>
      <c r="Y12" s="108"/>
      <c r="Z12" s="108"/>
      <c r="AA12" s="108"/>
      <c r="AB12" s="108"/>
      <c r="AC12" s="108"/>
      <c r="AD12" s="106"/>
      <c r="AE12" s="7"/>
      <c r="AF12" s="42"/>
    </row>
    <row r="13" spans="1:36" s="43" customFormat="1" ht="9.9" customHeight="1" x14ac:dyDescent="0.25">
      <c r="A13" s="42"/>
      <c r="C13" s="90">
        <f ca="1">W11+1</f>
        <v>46313</v>
      </c>
      <c r="D13" s="91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5">
      <c r="A14" s="4"/>
      <c r="C14" s="90"/>
      <c r="D14" s="91"/>
      <c r="E14" s="94">
        <f ca="1">C13+1</f>
        <v>46314</v>
      </c>
      <c r="F14" s="95"/>
      <c r="G14" s="94">
        <f ca="1">E14+1</f>
        <v>46315</v>
      </c>
      <c r="H14" s="95"/>
      <c r="I14" s="94">
        <f ca="1">G14+1</f>
        <v>46316</v>
      </c>
      <c r="J14" s="95"/>
      <c r="K14" s="94">
        <f ca="1">I14+1</f>
        <v>46317</v>
      </c>
      <c r="L14" s="96"/>
      <c r="M14" s="96"/>
      <c r="N14" s="50"/>
      <c r="O14" s="94">
        <f ca="1">K14+1</f>
        <v>46318</v>
      </c>
      <c r="P14" s="96"/>
      <c r="Q14" s="96"/>
      <c r="R14" s="96"/>
      <c r="S14" s="96"/>
      <c r="T14" s="96"/>
      <c r="U14" s="96"/>
      <c r="V14" s="95"/>
      <c r="W14" s="94">
        <f ca="1">O14+1</f>
        <v>46319</v>
      </c>
      <c r="X14" s="96"/>
      <c r="Y14" s="96"/>
      <c r="Z14" s="96"/>
      <c r="AA14" s="96"/>
      <c r="AB14" s="96"/>
      <c r="AC14" s="96"/>
      <c r="AD14" s="95"/>
      <c r="AF14" s="4"/>
    </row>
    <row r="15" spans="1:36" s="43" customFormat="1" ht="140.69999999999999" customHeight="1" x14ac:dyDescent="0.25">
      <c r="A15" s="42"/>
      <c r="C15" s="156" t="s">
        <v>32</v>
      </c>
      <c r="D15" s="106"/>
      <c r="E15" s="105"/>
      <c r="F15" s="106"/>
      <c r="G15" s="105"/>
      <c r="H15" s="106"/>
      <c r="I15" s="156" t="s">
        <v>36</v>
      </c>
      <c r="J15" s="106"/>
      <c r="K15" s="105"/>
      <c r="L15" s="108"/>
      <c r="M15" s="108"/>
      <c r="N15" s="106"/>
      <c r="O15" s="105" t="s">
        <v>34</v>
      </c>
      <c r="P15" s="108"/>
      <c r="Q15" s="108"/>
      <c r="R15" s="108"/>
      <c r="S15" s="108"/>
      <c r="T15" s="108"/>
      <c r="U15" s="108"/>
      <c r="V15" s="106"/>
      <c r="W15" s="156" t="s">
        <v>35</v>
      </c>
      <c r="X15" s="108"/>
      <c r="Y15" s="108"/>
      <c r="Z15" s="108"/>
      <c r="AA15" s="108"/>
      <c r="AB15" s="108"/>
      <c r="AC15" s="108"/>
      <c r="AD15" s="106"/>
      <c r="AE15" s="7"/>
      <c r="AF15" s="42"/>
    </row>
    <row r="16" spans="1:36" s="43" customFormat="1" ht="9.9" customHeight="1" x14ac:dyDescent="0.25">
      <c r="A16" s="42"/>
      <c r="C16" s="90">
        <f ca="1">W14+1</f>
        <v>46320</v>
      </c>
      <c r="D16" s="91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5">
      <c r="A17" s="4"/>
      <c r="C17" s="90"/>
      <c r="D17" s="91"/>
      <c r="E17" s="94">
        <f ca="1">C16+1</f>
        <v>46321</v>
      </c>
      <c r="F17" s="95"/>
      <c r="G17" s="94">
        <f ca="1">E17+1</f>
        <v>46322</v>
      </c>
      <c r="H17" s="95"/>
      <c r="I17" s="94">
        <f ca="1">G17+1</f>
        <v>46323</v>
      </c>
      <c r="J17" s="95"/>
      <c r="K17" s="94">
        <f ca="1">I17+1</f>
        <v>46324</v>
      </c>
      <c r="L17" s="96"/>
      <c r="M17" s="96"/>
      <c r="N17" s="50"/>
      <c r="O17" s="94">
        <f ca="1">K17+1</f>
        <v>46325</v>
      </c>
      <c r="P17" s="96"/>
      <c r="Q17" s="96"/>
      <c r="R17" s="96"/>
      <c r="S17" s="96"/>
      <c r="T17" s="96"/>
      <c r="U17" s="96"/>
      <c r="V17" s="95"/>
      <c r="W17" s="94">
        <f ca="1">O17+1</f>
        <v>46326</v>
      </c>
      <c r="X17" s="96"/>
      <c r="Y17" s="96"/>
      <c r="Z17" s="96"/>
      <c r="AA17" s="96"/>
      <c r="AB17" s="96"/>
      <c r="AC17" s="96"/>
      <c r="AD17" s="95"/>
      <c r="AF17" s="4"/>
    </row>
    <row r="18" spans="1:42" s="43" customFormat="1" ht="149.69999999999999" customHeight="1" x14ac:dyDescent="0.3">
      <c r="A18" s="42"/>
      <c r="C18" s="105"/>
      <c r="D18" s="106"/>
      <c r="E18" s="105" t="s">
        <v>33</v>
      </c>
      <c r="F18" s="106"/>
      <c r="G18" s="105"/>
      <c r="H18" s="106"/>
      <c r="I18" s="105"/>
      <c r="J18" s="106"/>
      <c r="K18" s="107" t="s">
        <v>37</v>
      </c>
      <c r="L18" s="108"/>
      <c r="M18" s="108"/>
      <c r="N18" s="82"/>
      <c r="O18" s="105"/>
      <c r="P18" s="108"/>
      <c r="Q18" s="108"/>
      <c r="R18" s="108"/>
      <c r="S18" s="108"/>
      <c r="T18" s="108"/>
      <c r="U18" s="108"/>
      <c r="V18" s="106"/>
      <c r="W18" s="105"/>
      <c r="X18" s="108"/>
      <c r="Y18" s="108"/>
      <c r="Z18" s="108"/>
      <c r="AA18" s="108"/>
      <c r="AB18" s="108"/>
      <c r="AC18" s="108"/>
      <c r="AD18" s="106"/>
      <c r="AE18" s="7"/>
      <c r="AF18" s="42"/>
      <c r="AP18" s="3"/>
    </row>
    <row r="19" spans="1:42" s="43" customFormat="1" ht="9.9" customHeight="1" x14ac:dyDescent="0.25">
      <c r="A19" s="42"/>
      <c r="C19" s="90">
        <f ca="1">W17+1</f>
        <v>46327</v>
      </c>
      <c r="D19" s="91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5">
      <c r="A20" s="4"/>
      <c r="C20" s="90"/>
      <c r="D20" s="91"/>
      <c r="E20" s="94">
        <f ca="1">C19+1</f>
        <v>46328</v>
      </c>
      <c r="F20" s="95"/>
      <c r="G20" s="94">
        <f ca="1">E20+1</f>
        <v>46329</v>
      </c>
      <c r="H20" s="95"/>
      <c r="I20" s="94">
        <f ca="1">G20+1</f>
        <v>46330</v>
      </c>
      <c r="J20" s="95"/>
      <c r="K20" s="94">
        <f ca="1">I20+1</f>
        <v>46331</v>
      </c>
      <c r="L20" s="96"/>
      <c r="M20" s="96"/>
      <c r="N20" s="50"/>
      <c r="O20" s="94">
        <f ca="1">K20+1</f>
        <v>46332</v>
      </c>
      <c r="P20" s="96"/>
      <c r="Q20" s="96"/>
      <c r="R20" s="96"/>
      <c r="S20" s="96"/>
      <c r="T20" s="96"/>
      <c r="U20" s="96"/>
      <c r="V20" s="95"/>
      <c r="W20" s="94">
        <f ca="1">O20+1</f>
        <v>46333</v>
      </c>
      <c r="X20" s="96"/>
      <c r="Y20" s="96"/>
      <c r="Z20" s="96"/>
      <c r="AA20" s="96"/>
      <c r="AB20" s="96"/>
      <c r="AC20" s="96"/>
      <c r="AD20" s="95"/>
      <c r="AF20" s="4"/>
    </row>
    <row r="21" spans="1:42" s="43" customFormat="1" ht="7.5" customHeight="1" x14ac:dyDescent="0.25">
      <c r="A21" s="42"/>
      <c r="C21" s="83"/>
      <c r="D21" s="85"/>
      <c r="E21" s="83"/>
      <c r="F21" s="85"/>
      <c r="G21" s="83"/>
      <c r="H21" s="85"/>
      <c r="I21" s="83"/>
      <c r="J21" s="85"/>
      <c r="K21" s="83"/>
      <c r="L21" s="84"/>
      <c r="M21" s="84"/>
      <c r="N21" s="44"/>
      <c r="O21" s="83"/>
      <c r="P21" s="84"/>
      <c r="Q21" s="84"/>
      <c r="R21" s="84"/>
      <c r="S21" s="84"/>
      <c r="T21" s="84"/>
      <c r="U21" s="84"/>
      <c r="V21" s="85"/>
      <c r="W21" s="83"/>
      <c r="X21" s="84"/>
      <c r="Y21" s="84"/>
      <c r="Z21" s="84"/>
      <c r="AA21" s="84"/>
      <c r="AB21" s="84"/>
      <c r="AC21" s="84"/>
      <c r="AD21" s="85"/>
      <c r="AE21" s="7"/>
      <c r="AF21" s="42"/>
      <c r="AP21" s="3"/>
    </row>
    <row r="22" spans="1:42" s="7" customFormat="1" ht="24.9" customHeight="1" x14ac:dyDescent="0.25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25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25">
      <c r="A24" s="1"/>
      <c r="M24" s="1"/>
      <c r="AF24" s="1"/>
    </row>
    <row r="25" spans="1:42" ht="20.100000000000001" customHeight="1" x14ac:dyDescent="0.25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46266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46327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5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5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25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25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25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25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ht="13.2" x14ac:dyDescent="0.25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ht="13.2" x14ac:dyDescent="0.2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thickBot="1" x14ac:dyDescent="0.3"/>
    <row r="39" spans="1:32" ht="12.6" customHeight="1" x14ac:dyDescent="0.25">
      <c r="D39" s="115" t="s">
        <v>24</v>
      </c>
      <c r="E39" s="116"/>
      <c r="F39" s="117"/>
      <c r="G39" s="121">
        <f ca="1">ROUNDDOWN((DATE(2026,11,13)-TODAY())/7,0)</f>
        <v>5</v>
      </c>
      <c r="H39" s="122"/>
      <c r="I39" s="115" t="s">
        <v>27</v>
      </c>
      <c r="J39" s="125"/>
      <c r="K39" s="127" t="s">
        <v>25</v>
      </c>
      <c r="L39" s="128"/>
      <c r="M39" s="131">
        <f ca="1">7*(((DATE(2026,11,13)-TODAY())/7)-ROUNDDOWN((DATE(2026,11,13)-TODAY())/7,0))</f>
        <v>5.0000000000000009</v>
      </c>
      <c r="N39" s="132"/>
      <c r="O39" s="132"/>
      <c r="P39" s="132"/>
      <c r="Q39" s="132"/>
      <c r="R39" s="133"/>
      <c r="S39" s="137" t="s">
        <v>26</v>
      </c>
      <c r="T39" s="138"/>
      <c r="U39" s="138"/>
      <c r="V39" s="138"/>
      <c r="W39" s="138"/>
      <c r="X39" s="139"/>
    </row>
    <row r="40" spans="1:32" ht="12.9" customHeight="1" thickBot="1" x14ac:dyDescent="0.3">
      <c r="D40" s="118"/>
      <c r="E40" s="119"/>
      <c r="F40" s="120"/>
      <c r="G40" s="123"/>
      <c r="H40" s="124"/>
      <c r="I40" s="118"/>
      <c r="J40" s="126"/>
      <c r="K40" s="129"/>
      <c r="L40" s="130"/>
      <c r="M40" s="134"/>
      <c r="N40" s="135"/>
      <c r="O40" s="135"/>
      <c r="P40" s="135"/>
      <c r="Q40" s="135"/>
      <c r="R40" s="136"/>
      <c r="S40" s="140"/>
      <c r="T40" s="141"/>
      <c r="U40" s="141"/>
      <c r="V40" s="141"/>
      <c r="W40" s="141"/>
      <c r="X40" s="142"/>
    </row>
  </sheetData>
  <mergeCells count="110"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zoomScaleNormal="100" workbookViewId="0">
      <selection activeCell="G9" sqref="G9:H9"/>
    </sheetView>
  </sheetViews>
  <sheetFormatPr defaultColWidth="8.6640625" defaultRowHeight="13.8" x14ac:dyDescent="0.3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1.1000000000000001">
      <c r="A2" s="29"/>
      <c r="C2" s="112">
        <f ca="1">DATE(About!P8,11,1)</f>
        <v>46327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F2" s="29"/>
    </row>
    <row r="3" spans="1:36" s="32" customFormat="1" ht="24.9" customHeight="1" x14ac:dyDescent="1.1000000000000001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5">
      <c r="A4" s="35"/>
      <c r="C4" s="113">
        <f ca="1">C5</f>
        <v>46327</v>
      </c>
      <c r="D4" s="113"/>
      <c r="E4" s="113">
        <f ca="1">E5</f>
        <v>46328</v>
      </c>
      <c r="F4" s="113"/>
      <c r="G4" s="113">
        <f ca="1">G5</f>
        <v>46329</v>
      </c>
      <c r="H4" s="113"/>
      <c r="I4" s="113">
        <f ca="1">I5</f>
        <v>46330</v>
      </c>
      <c r="J4" s="113"/>
      <c r="K4" s="113">
        <f ca="1">K5</f>
        <v>46331</v>
      </c>
      <c r="L4" s="113"/>
      <c r="M4" s="113"/>
      <c r="N4" s="37"/>
      <c r="O4" s="113">
        <f ca="1">O5</f>
        <v>46332</v>
      </c>
      <c r="P4" s="113"/>
      <c r="Q4" s="113"/>
      <c r="R4" s="113"/>
      <c r="S4" s="113"/>
      <c r="T4" s="113"/>
      <c r="U4" s="113"/>
      <c r="V4" s="113"/>
      <c r="W4" s="113">
        <f ca="1">W5</f>
        <v>46333</v>
      </c>
      <c r="X4" s="113"/>
      <c r="Y4" s="113"/>
      <c r="Z4" s="113"/>
      <c r="AA4" s="113"/>
      <c r="AB4" s="113"/>
      <c r="AC4" s="113"/>
      <c r="AD4" s="113"/>
      <c r="AF4" s="38"/>
      <c r="AG4" s="39"/>
      <c r="AH4" s="39"/>
      <c r="AI4" s="39"/>
      <c r="AJ4" s="39"/>
    </row>
    <row r="5" spans="1:36" ht="24.9" customHeight="1" x14ac:dyDescent="0.3">
      <c r="A5" s="1"/>
      <c r="C5" s="90">
        <f ca="1">$C$2-(WEEKDAY($C$2,1)-(start_day-1))-IF((WEEKDAY($C$2,1)-(start_day-1))&lt;=0,7,0)+1</f>
        <v>46327</v>
      </c>
      <c r="D5" s="91"/>
      <c r="E5" s="90">
        <f ca="1">C5+1</f>
        <v>46328</v>
      </c>
      <c r="F5" s="91"/>
      <c r="G5" s="90">
        <f ca="1">E5+1</f>
        <v>46329</v>
      </c>
      <c r="H5" s="91"/>
      <c r="I5" s="90">
        <f ca="1">G5+1</f>
        <v>46330</v>
      </c>
      <c r="J5" s="91"/>
      <c r="K5" s="90">
        <f ca="1">I5+1</f>
        <v>46331</v>
      </c>
      <c r="L5" s="114"/>
      <c r="M5" s="114"/>
      <c r="N5" s="74"/>
      <c r="O5" s="90">
        <f ca="1">K5+1</f>
        <v>46332</v>
      </c>
      <c r="P5" s="114"/>
      <c r="Q5" s="114"/>
      <c r="R5" s="114"/>
      <c r="S5" s="114"/>
      <c r="T5" s="114"/>
      <c r="U5" s="114"/>
      <c r="V5" s="91"/>
      <c r="W5" s="90">
        <f ca="1">O5+1</f>
        <v>46333</v>
      </c>
      <c r="X5" s="114"/>
      <c r="Y5" s="114"/>
      <c r="Z5" s="114"/>
      <c r="AA5" s="114"/>
      <c r="AB5" s="114"/>
      <c r="AC5" s="114"/>
      <c r="AD5" s="91"/>
      <c r="AF5" s="40"/>
      <c r="AG5" s="41"/>
      <c r="AH5" s="41"/>
      <c r="AI5" s="41"/>
      <c r="AJ5" s="41"/>
    </row>
    <row r="6" spans="1:36" s="43" customFormat="1" ht="133.80000000000001" customHeight="1" x14ac:dyDescent="0.25">
      <c r="A6" s="42"/>
      <c r="C6" s="105"/>
      <c r="D6" s="106"/>
      <c r="E6" s="107" t="s">
        <v>38</v>
      </c>
      <c r="F6" s="106"/>
      <c r="G6" s="105"/>
      <c r="H6" s="106"/>
      <c r="I6" s="105"/>
      <c r="J6" s="106"/>
      <c r="K6" s="105"/>
      <c r="L6" s="108"/>
      <c r="M6" s="108"/>
      <c r="N6" s="106"/>
      <c r="O6" s="107" t="s">
        <v>39</v>
      </c>
      <c r="P6" s="108"/>
      <c r="Q6" s="108"/>
      <c r="R6" s="108"/>
      <c r="S6" s="108"/>
      <c r="T6" s="108"/>
      <c r="U6" s="108"/>
      <c r="V6" s="106"/>
      <c r="W6" s="105"/>
      <c r="X6" s="108"/>
      <c r="Y6" s="108"/>
      <c r="Z6" s="108"/>
      <c r="AA6" s="108"/>
      <c r="AB6" s="108"/>
      <c r="AC6" s="108"/>
      <c r="AD6" s="106"/>
      <c r="AE6" s="7"/>
      <c r="AF6" s="42"/>
    </row>
    <row r="7" spans="1:36" ht="9.9" customHeight="1" x14ac:dyDescent="0.3">
      <c r="A7" s="1"/>
      <c r="C7" s="100">
        <f ca="1">W5+1</f>
        <v>46334</v>
      </c>
      <c r="D7" s="101"/>
      <c r="E7" s="109"/>
      <c r="F7" s="110"/>
      <c r="G7" s="109"/>
      <c r="H7" s="110"/>
      <c r="I7" s="109"/>
      <c r="J7" s="110"/>
      <c r="K7" s="109"/>
      <c r="L7" s="111"/>
      <c r="M7" s="111"/>
      <c r="N7" s="80"/>
      <c r="O7" s="109"/>
      <c r="P7" s="111"/>
      <c r="Q7" s="111"/>
      <c r="R7" s="111"/>
      <c r="S7" s="111"/>
      <c r="T7" s="111"/>
      <c r="U7" s="111"/>
      <c r="V7" s="110"/>
      <c r="W7" s="109"/>
      <c r="X7" s="111"/>
      <c r="Y7" s="111"/>
      <c r="Z7" s="111"/>
      <c r="AA7" s="111"/>
      <c r="AB7" s="111"/>
      <c r="AC7" s="111"/>
      <c r="AD7" s="110"/>
      <c r="AF7" s="1"/>
    </row>
    <row r="8" spans="1:36" s="7" customFormat="1" ht="15" customHeight="1" x14ac:dyDescent="0.25">
      <c r="A8" s="4"/>
      <c r="C8" s="100"/>
      <c r="D8" s="101"/>
      <c r="E8" s="100">
        <f ca="1">C7+1</f>
        <v>46335</v>
      </c>
      <c r="F8" s="101"/>
      <c r="G8" s="100">
        <f ca="1">E8+1</f>
        <v>46336</v>
      </c>
      <c r="H8" s="101"/>
      <c r="I8" s="100">
        <f ca="1">G8+1</f>
        <v>46337</v>
      </c>
      <c r="J8" s="101"/>
      <c r="K8" s="100">
        <f ca="1">I8+1</f>
        <v>46338</v>
      </c>
      <c r="L8" s="102"/>
      <c r="M8" s="102"/>
      <c r="N8" s="78"/>
      <c r="O8" s="100">
        <f ca="1">K8+1</f>
        <v>46339</v>
      </c>
      <c r="P8" s="102"/>
      <c r="Q8" s="102"/>
      <c r="R8" s="102"/>
      <c r="S8" s="102"/>
      <c r="T8" s="102"/>
      <c r="U8" s="102"/>
      <c r="V8" s="101"/>
      <c r="W8" s="100">
        <f ca="1">O8+1</f>
        <v>46340</v>
      </c>
      <c r="X8" s="102"/>
      <c r="Y8" s="102"/>
      <c r="Z8" s="102"/>
      <c r="AA8" s="102"/>
      <c r="AB8" s="102"/>
      <c r="AC8" s="102"/>
      <c r="AD8" s="101"/>
      <c r="AF8" s="4"/>
    </row>
    <row r="9" spans="1:36" s="43" customFormat="1" ht="146.4" customHeight="1" x14ac:dyDescent="0.25">
      <c r="A9" s="42"/>
      <c r="C9" s="105"/>
      <c r="D9" s="106"/>
      <c r="E9" s="107" t="s">
        <v>42</v>
      </c>
      <c r="F9" s="106"/>
      <c r="G9" s="105"/>
      <c r="H9" s="106"/>
      <c r="I9" s="105" t="s">
        <v>41</v>
      </c>
      <c r="J9" s="106"/>
      <c r="K9" s="105" t="s">
        <v>18</v>
      </c>
      <c r="L9" s="108"/>
      <c r="M9" s="108"/>
      <c r="N9" s="106"/>
      <c r="O9" s="103" t="s">
        <v>15</v>
      </c>
      <c r="P9" s="98"/>
      <c r="Q9" s="98"/>
      <c r="R9" s="98"/>
      <c r="S9" s="98"/>
      <c r="T9" s="98"/>
      <c r="U9" s="98"/>
      <c r="V9" s="99"/>
      <c r="W9" s="97"/>
      <c r="X9" s="98"/>
      <c r="Y9" s="98"/>
      <c r="Z9" s="98"/>
      <c r="AA9" s="98"/>
      <c r="AB9" s="98"/>
      <c r="AC9" s="98"/>
      <c r="AD9" s="99"/>
      <c r="AE9" s="7"/>
      <c r="AF9" s="42"/>
    </row>
    <row r="10" spans="1:36" s="43" customFormat="1" ht="9.9" customHeight="1" x14ac:dyDescent="0.25">
      <c r="A10" s="42"/>
      <c r="C10" s="100">
        <f ca="1">W8+1</f>
        <v>46341</v>
      </c>
      <c r="D10" s="101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3">
      <c r="A11" s="4"/>
      <c r="C11" s="100"/>
      <c r="D11" s="101"/>
      <c r="E11" s="100">
        <f ca="1">C10+1</f>
        <v>46342</v>
      </c>
      <c r="F11" s="101"/>
      <c r="G11" s="100">
        <f ca="1">E11+1</f>
        <v>46343</v>
      </c>
      <c r="H11" s="101"/>
      <c r="I11" s="100">
        <f ca="1">G11+1</f>
        <v>46344</v>
      </c>
      <c r="J11" s="101"/>
      <c r="K11" s="100">
        <f ca="1">I11+1</f>
        <v>46345</v>
      </c>
      <c r="L11" s="102"/>
      <c r="M11" s="102"/>
      <c r="N11" s="78"/>
      <c r="O11" s="100">
        <f ca="1">K11+1</f>
        <v>46346</v>
      </c>
      <c r="P11" s="102"/>
      <c r="Q11" s="102"/>
      <c r="R11" s="102"/>
      <c r="S11" s="102"/>
      <c r="T11" s="102"/>
      <c r="U11" s="102"/>
      <c r="V11" s="101"/>
      <c r="W11" s="100">
        <f ca="1">O11+1</f>
        <v>46347</v>
      </c>
      <c r="X11" s="102"/>
      <c r="Y11" s="102"/>
      <c r="Z11" s="102"/>
      <c r="AA11" s="102"/>
      <c r="AB11" s="102"/>
      <c r="AC11" s="102"/>
      <c r="AD11" s="101"/>
      <c r="AF11" s="4"/>
      <c r="AJ11" s="3"/>
    </row>
    <row r="12" spans="1:36" s="43" customFormat="1" ht="134.69999999999999" customHeight="1" x14ac:dyDescent="0.25">
      <c r="A12" s="42"/>
      <c r="C12" s="97"/>
      <c r="D12" s="99"/>
      <c r="E12" s="103" t="s">
        <v>16</v>
      </c>
      <c r="F12" s="104"/>
      <c r="G12" s="97"/>
      <c r="H12" s="99"/>
      <c r="I12" s="97"/>
      <c r="J12" s="99"/>
      <c r="K12" s="97"/>
      <c r="L12" s="98"/>
      <c r="M12" s="98"/>
      <c r="N12" s="99"/>
      <c r="O12" s="97"/>
      <c r="P12" s="98"/>
      <c r="Q12" s="98"/>
      <c r="R12" s="98"/>
      <c r="S12" s="98"/>
      <c r="T12" s="98"/>
      <c r="U12" s="98"/>
      <c r="V12" s="99"/>
      <c r="W12" s="97"/>
      <c r="X12" s="98"/>
      <c r="Y12" s="98"/>
      <c r="Z12" s="98"/>
      <c r="AA12" s="98"/>
      <c r="AB12" s="98"/>
      <c r="AC12" s="98"/>
      <c r="AD12" s="99"/>
      <c r="AE12" s="7"/>
      <c r="AF12" s="42"/>
    </row>
    <row r="13" spans="1:36" s="43" customFormat="1" ht="9.9" customHeight="1" x14ac:dyDescent="0.25">
      <c r="A13" s="42"/>
      <c r="C13" s="100">
        <f ca="1">W11+1</f>
        <v>46348</v>
      </c>
      <c r="D13" s="101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25">
      <c r="A14" s="4"/>
      <c r="C14" s="100"/>
      <c r="D14" s="101"/>
      <c r="E14" s="100">
        <f ca="1">C13+1</f>
        <v>46349</v>
      </c>
      <c r="F14" s="101"/>
      <c r="G14" s="100">
        <f ca="1">E14+1</f>
        <v>46350</v>
      </c>
      <c r="H14" s="101"/>
      <c r="I14" s="100">
        <f ca="1">G14+1</f>
        <v>46351</v>
      </c>
      <c r="J14" s="101"/>
      <c r="K14" s="100">
        <f ca="1">I14+1</f>
        <v>46352</v>
      </c>
      <c r="L14" s="102"/>
      <c r="M14" s="102"/>
      <c r="N14" s="78"/>
      <c r="O14" s="100">
        <f ca="1">K14+1</f>
        <v>46353</v>
      </c>
      <c r="P14" s="102"/>
      <c r="Q14" s="102"/>
      <c r="R14" s="102"/>
      <c r="S14" s="102"/>
      <c r="T14" s="102"/>
      <c r="U14" s="102"/>
      <c r="V14" s="101"/>
      <c r="W14" s="100">
        <f ca="1">O14+1</f>
        <v>46354</v>
      </c>
      <c r="X14" s="102"/>
      <c r="Y14" s="102"/>
      <c r="Z14" s="102"/>
      <c r="AA14" s="102"/>
      <c r="AB14" s="102"/>
      <c r="AC14" s="102"/>
      <c r="AD14" s="101"/>
      <c r="AF14" s="4"/>
    </row>
    <row r="15" spans="1:36" s="43" customFormat="1" ht="75" customHeight="1" x14ac:dyDescent="0.25">
      <c r="A15" s="42"/>
      <c r="C15" s="97"/>
      <c r="D15" s="99"/>
      <c r="E15" s="97"/>
      <c r="F15" s="99"/>
      <c r="G15" s="97"/>
      <c r="H15" s="99"/>
      <c r="I15" s="97"/>
      <c r="J15" s="99"/>
      <c r="K15" s="97"/>
      <c r="L15" s="98"/>
      <c r="M15" s="98"/>
      <c r="N15" s="99"/>
      <c r="O15" s="97"/>
      <c r="P15" s="98"/>
      <c r="Q15" s="98"/>
      <c r="R15" s="98"/>
      <c r="S15" s="98"/>
      <c r="T15" s="98"/>
      <c r="U15" s="98"/>
      <c r="V15" s="99"/>
      <c r="W15" s="97"/>
      <c r="X15" s="98"/>
      <c r="Y15" s="98"/>
      <c r="Z15" s="98"/>
      <c r="AA15" s="98"/>
      <c r="AB15" s="98"/>
      <c r="AC15" s="98"/>
      <c r="AD15" s="99"/>
      <c r="AE15" s="7"/>
      <c r="AF15" s="42"/>
    </row>
    <row r="16" spans="1:36" s="43" customFormat="1" ht="9.9" customHeight="1" x14ac:dyDescent="0.25">
      <c r="A16" s="42"/>
      <c r="C16" s="90">
        <f ca="1">W14+1</f>
        <v>46355</v>
      </c>
      <c r="D16" s="91"/>
      <c r="E16" s="45"/>
      <c r="F16" s="75"/>
      <c r="G16" s="45"/>
      <c r="H16" s="75"/>
      <c r="I16" s="92"/>
      <c r="J16" s="93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5">
      <c r="A17" s="4"/>
      <c r="C17" s="90"/>
      <c r="D17" s="91"/>
      <c r="E17" s="94">
        <f ca="1">C16+1</f>
        <v>46356</v>
      </c>
      <c r="F17" s="95"/>
      <c r="G17" s="94">
        <v>1</v>
      </c>
      <c r="H17" s="95"/>
      <c r="I17" s="94">
        <f>G17+1</f>
        <v>2</v>
      </c>
      <c r="J17" s="95"/>
      <c r="K17" s="94">
        <f>I17+1</f>
        <v>3</v>
      </c>
      <c r="L17" s="96"/>
      <c r="M17" s="96"/>
      <c r="N17" s="95"/>
      <c r="O17" s="94">
        <f>K17+1</f>
        <v>4</v>
      </c>
      <c r="P17" s="96"/>
      <c r="Q17" s="96"/>
      <c r="R17" s="96"/>
      <c r="S17" s="96"/>
      <c r="T17" s="96"/>
      <c r="U17" s="96"/>
      <c r="V17" s="95"/>
      <c r="W17" s="94">
        <f>O17+1</f>
        <v>5</v>
      </c>
      <c r="X17" s="96"/>
      <c r="Y17" s="96"/>
      <c r="Z17" s="96"/>
      <c r="AA17" s="96"/>
      <c r="AB17" s="96"/>
      <c r="AC17" s="96"/>
      <c r="AD17" s="95"/>
      <c r="AF17" s="4"/>
    </row>
    <row r="18" spans="1:42" s="43" customFormat="1" ht="75" customHeight="1" x14ac:dyDescent="0.3">
      <c r="A18" s="42"/>
      <c r="C18" s="83"/>
      <c r="D18" s="85"/>
      <c r="E18" s="83"/>
      <c r="F18" s="85"/>
      <c r="G18" s="83"/>
      <c r="H18" s="85"/>
      <c r="I18" s="83"/>
      <c r="J18" s="85"/>
      <c r="K18" s="83"/>
      <c r="L18" s="84"/>
      <c r="M18" s="84"/>
      <c r="N18" s="85"/>
      <c r="O18" s="83"/>
      <c r="P18" s="84"/>
      <c r="Q18" s="84"/>
      <c r="R18" s="84"/>
      <c r="S18" s="84"/>
      <c r="T18" s="84"/>
      <c r="U18" s="84"/>
      <c r="V18" s="85"/>
      <c r="W18" s="83"/>
      <c r="X18" s="84"/>
      <c r="Y18" s="84"/>
      <c r="Z18" s="84"/>
      <c r="AA18" s="84"/>
      <c r="AB18" s="84"/>
      <c r="AC18" s="84"/>
      <c r="AD18" s="85"/>
      <c r="AE18" s="7"/>
      <c r="AF18" s="42"/>
      <c r="AP18" s="3"/>
    </row>
    <row r="19" spans="1:42" s="43" customFormat="1" ht="9.9" customHeight="1" x14ac:dyDescent="0.25">
      <c r="A19" s="42"/>
      <c r="C19" s="90">
        <f>W17+1</f>
        <v>6</v>
      </c>
      <c r="D19" s="91"/>
      <c r="E19" s="45"/>
      <c r="F19" s="75"/>
      <c r="G19" s="45"/>
      <c r="H19" s="75"/>
      <c r="I19" s="92"/>
      <c r="J19" s="93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5">
      <c r="A20" s="4"/>
      <c r="C20" s="90"/>
      <c r="D20" s="91"/>
      <c r="E20" s="94">
        <f>C19+1</f>
        <v>7</v>
      </c>
      <c r="F20" s="95"/>
      <c r="G20" s="94">
        <f>E20+1</f>
        <v>8</v>
      </c>
      <c r="H20" s="95"/>
      <c r="I20" s="94">
        <f>G20+1</f>
        <v>9</v>
      </c>
      <c r="J20" s="95"/>
      <c r="K20" s="94">
        <f>I20+1</f>
        <v>10</v>
      </c>
      <c r="L20" s="96"/>
      <c r="M20" s="96"/>
      <c r="N20" s="95"/>
      <c r="O20" s="94">
        <f>K20+1</f>
        <v>11</v>
      </c>
      <c r="P20" s="96"/>
      <c r="Q20" s="96"/>
      <c r="R20" s="96"/>
      <c r="S20" s="96"/>
      <c r="T20" s="96"/>
      <c r="U20" s="96"/>
      <c r="V20" s="95"/>
      <c r="W20" s="94">
        <f>O20+1</f>
        <v>12</v>
      </c>
      <c r="X20" s="96"/>
      <c r="Y20" s="96"/>
      <c r="Z20" s="96"/>
      <c r="AA20" s="96"/>
      <c r="AB20" s="96"/>
      <c r="AC20" s="96"/>
      <c r="AD20" s="95"/>
      <c r="AF20" s="4"/>
    </row>
    <row r="21" spans="1:42" s="43" customFormat="1" ht="75" customHeight="1" x14ac:dyDescent="0.3">
      <c r="A21" s="42"/>
      <c r="C21" s="83"/>
      <c r="D21" s="85"/>
      <c r="E21" s="83"/>
      <c r="F21" s="85"/>
      <c r="G21" s="83"/>
      <c r="H21" s="85"/>
      <c r="I21" s="83"/>
      <c r="J21" s="85"/>
      <c r="K21" s="83"/>
      <c r="L21" s="84"/>
      <c r="M21" s="84"/>
      <c r="N21" s="85"/>
      <c r="O21" s="83"/>
      <c r="P21" s="84"/>
      <c r="Q21" s="84"/>
      <c r="R21" s="84"/>
      <c r="S21" s="84"/>
      <c r="T21" s="84"/>
      <c r="U21" s="84"/>
      <c r="V21" s="85"/>
      <c r="W21" s="83"/>
      <c r="X21" s="84"/>
      <c r="Y21" s="84"/>
      <c r="Z21" s="84"/>
      <c r="AA21" s="84"/>
      <c r="AB21" s="84"/>
      <c r="AC21" s="84"/>
      <c r="AD21" s="85"/>
      <c r="AE21" s="7"/>
      <c r="AF21" s="42"/>
      <c r="AP21" s="3"/>
    </row>
    <row r="22" spans="1:42" s="7" customFormat="1" ht="24.9" customHeight="1" x14ac:dyDescent="0.25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25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3">
      <c r="A24" s="1"/>
      <c r="M24" s="1"/>
      <c r="AF24" s="1"/>
    </row>
    <row r="25" spans="1:42" ht="20.100000000000001" customHeight="1" x14ac:dyDescent="0.3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46296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46357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3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3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3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3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3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3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3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3">
      <c r="A33" s="1"/>
      <c r="M33" s="1"/>
      <c r="AF33" s="1"/>
    </row>
    <row r="34" spans="1:32" ht="24.9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4.4" thickBot="1" x14ac:dyDescent="0.35"/>
    <row r="38" spans="1:32" ht="12.6" customHeight="1" x14ac:dyDescent="0.3">
      <c r="D38" s="115" t="s">
        <v>24</v>
      </c>
      <c r="E38" s="116"/>
      <c r="F38" s="117"/>
      <c r="G38" s="121">
        <f ca="1">ROUNDDOWN((DATE(2026,11,13)-TODAY())/7,0)</f>
        <v>5</v>
      </c>
      <c r="H38" s="122"/>
      <c r="I38" s="115" t="s">
        <v>27</v>
      </c>
      <c r="J38" s="125"/>
      <c r="K38" s="127" t="s">
        <v>25</v>
      </c>
      <c r="L38" s="128"/>
      <c r="M38" s="131">
        <f ca="1">7*(((DATE(2026,11,13)-TODAY())/7)-ROUNDDOWN((DATE(2026,11,13)-TODAY())/7,0))</f>
        <v>5.0000000000000009</v>
      </c>
      <c r="N38" s="132"/>
      <c r="O38" s="132"/>
      <c r="P38" s="132"/>
      <c r="Q38" s="132"/>
      <c r="R38" s="133"/>
      <c r="S38" s="137" t="s">
        <v>26</v>
      </c>
      <c r="T38" s="138"/>
      <c r="U38" s="138"/>
      <c r="V38" s="138"/>
      <c r="W38" s="138"/>
      <c r="X38" s="139"/>
    </row>
    <row r="39" spans="1:32" ht="12.9" customHeight="1" thickBot="1" x14ac:dyDescent="0.35">
      <c r="D39" s="118"/>
      <c r="E39" s="119"/>
      <c r="F39" s="120"/>
      <c r="G39" s="123"/>
      <c r="H39" s="124"/>
      <c r="I39" s="118"/>
      <c r="J39" s="126"/>
      <c r="K39" s="129"/>
      <c r="L39" s="130"/>
      <c r="M39" s="134"/>
      <c r="N39" s="135"/>
      <c r="O39" s="135"/>
      <c r="P39" s="135"/>
      <c r="Q39" s="135"/>
      <c r="R39" s="136"/>
      <c r="S39" s="140"/>
      <c r="T39" s="141"/>
      <c r="U39" s="141"/>
      <c r="V39" s="141"/>
      <c r="W39" s="141"/>
      <c r="X39" s="142"/>
    </row>
  </sheetData>
  <mergeCells count="112"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2026-10-03T22:30:35Z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