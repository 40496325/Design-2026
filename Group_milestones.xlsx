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codeName="ThisWorkbook"/>
  <xr:revisionPtr revIDLastSave="0" documentId="13_ncr:1_{F39CAEE9-AD7F-4550-8EC3-283B9F427DAB}" xr6:coauthVersionLast="47" xr6:coauthVersionMax="47" xr10:uidLastSave="{00000000-0000-0000-0000-000000000000}"/>
  <bookViews>
    <workbookView xWindow="-120" yWindow="-120" windowWidth="20730" windowHeight="11040" tabRatio="824" activeTab="2" xr2:uid="{00000000-000D-0000-FFFF-FFFF00000000}"/>
  </bookViews>
  <sheets>
    <sheet name="About" sheetId="52" r:id="rId1"/>
    <sheet name="September" sheetId="60" r:id="rId2"/>
    <sheet name="October" sheetId="61" r:id="rId3"/>
    <sheet name="November" sheetId="62" r:id="rId4"/>
  </sheets>
  <definedNames>
    <definedName name="_xlnm.Print_Area" localSheetId="3">November!$C$2:$AD$18</definedName>
    <definedName name="_xlnm.Print_Area" localSheetId="2">October!$C$2:$AD$18</definedName>
    <definedName name="_xlnm.Print_Area" localSheetId="1">September!$C$2:$AD$18</definedName>
    <definedName name="start_day">About!$P$10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8" i="62" l="1"/>
  <c r="G38" i="62"/>
  <c r="M39" i="61"/>
  <c r="G39" i="61"/>
  <c r="G39" i="60"/>
  <c r="M39" i="60"/>
  <c r="P8" i="52"/>
  <c r="AD26" i="62"/>
  <c r="AC26" i="62"/>
  <c r="AB26" i="62"/>
  <c r="AA26" i="62"/>
  <c r="Z26" i="62"/>
  <c r="Y26" i="62"/>
  <c r="X26" i="62"/>
  <c r="U26" i="62"/>
  <c r="T26" i="62"/>
  <c r="S26" i="62"/>
  <c r="R26" i="62"/>
  <c r="Q26" i="62"/>
  <c r="P26" i="62"/>
  <c r="O26" i="62"/>
  <c r="AD26" i="61"/>
  <c r="AC26" i="61"/>
  <c r="AB26" i="61"/>
  <c r="AA26" i="61"/>
  <c r="Z26" i="61"/>
  <c r="Y26" i="61"/>
  <c r="X26" i="61"/>
  <c r="U26" i="61"/>
  <c r="T26" i="61"/>
  <c r="S26" i="61"/>
  <c r="R26" i="61"/>
  <c r="Q26" i="61"/>
  <c r="P26" i="61"/>
  <c r="O26" i="61"/>
  <c r="AD26" i="60"/>
  <c r="AC26" i="60"/>
  <c r="AB26" i="60"/>
  <c r="AA26" i="60"/>
  <c r="Z26" i="60"/>
  <c r="Y26" i="60"/>
  <c r="X26" i="60"/>
  <c r="U26" i="60"/>
  <c r="T26" i="60"/>
  <c r="S26" i="60"/>
  <c r="R26" i="60"/>
  <c r="Q26" i="60"/>
  <c r="P26" i="60"/>
  <c r="O26" i="60"/>
  <c r="C2" i="60" l="1"/>
  <c r="C5" i="60" s="1"/>
  <c r="C4" i="60" s="1"/>
  <c r="C2" i="61"/>
  <c r="X25" i="61" s="1"/>
  <c r="C2" i="62"/>
  <c r="X25" i="62" s="1"/>
  <c r="Y28" i="61" l="1"/>
  <c r="AB32" i="61"/>
  <c r="AD32" i="61"/>
  <c r="AA32" i="61"/>
  <c r="AC32" i="61"/>
  <c r="Y32" i="61"/>
  <c r="Z32" i="61"/>
  <c r="X32" i="61"/>
  <c r="AB29" i="62"/>
  <c r="AD31" i="62"/>
  <c r="X31" i="62"/>
  <c r="AC31" i="62"/>
  <c r="AB31" i="62"/>
  <c r="AA31" i="62"/>
  <c r="Z31" i="62"/>
  <c r="Y31" i="62"/>
  <c r="AB27" i="61"/>
  <c r="X31" i="61"/>
  <c r="O25" i="62"/>
  <c r="AA31" i="61"/>
  <c r="E5" i="60"/>
  <c r="E4" i="60" s="1"/>
  <c r="C5" i="61"/>
  <c r="C4" i="61" s="1"/>
  <c r="Y27" i="62"/>
  <c r="Y31" i="61"/>
  <c r="X28" i="62"/>
  <c r="Y29" i="61"/>
  <c r="AC27" i="62"/>
  <c r="AB31" i="61"/>
  <c r="AA28" i="62"/>
  <c r="AB30" i="62"/>
  <c r="Z28" i="62"/>
  <c r="AC27" i="61"/>
  <c r="Z29" i="62"/>
  <c r="AB28" i="62"/>
  <c r="AD27" i="61"/>
  <c r="AA28" i="61"/>
  <c r="AB32" i="62"/>
  <c r="AA30" i="61"/>
  <c r="Y27" i="61"/>
  <c r="AB27" i="62"/>
  <c r="AB30" i="61"/>
  <c r="AD29" i="61"/>
  <c r="AA29" i="61"/>
  <c r="Y30" i="62"/>
  <c r="O25" i="60"/>
  <c r="AD28" i="61"/>
  <c r="AB29" i="61"/>
  <c r="X29" i="62"/>
  <c r="AA29" i="62"/>
  <c r="Z29" i="61"/>
  <c r="X29" i="61"/>
  <c r="AC29" i="61"/>
  <c r="AC30" i="61"/>
  <c r="X30" i="62"/>
  <c r="Y32" i="62"/>
  <c r="Z31" i="61"/>
  <c r="AC28" i="61"/>
  <c r="Z28" i="61"/>
  <c r="Z32" i="62"/>
  <c r="AC28" i="62"/>
  <c r="C5" i="62"/>
  <c r="C4" i="62" s="1"/>
  <c r="X30" i="61"/>
  <c r="AB28" i="61"/>
  <c r="X27" i="61"/>
  <c r="AA30" i="62"/>
  <c r="AA27" i="62"/>
  <c r="Y28" i="62"/>
  <c r="X25" i="60"/>
  <c r="AC31" i="61"/>
  <c r="Z30" i="61"/>
  <c r="AA27" i="61"/>
  <c r="AD30" i="61"/>
  <c r="AD31" i="61"/>
  <c r="Y29" i="62"/>
  <c r="AA32" i="62"/>
  <c r="AC29" i="62"/>
  <c r="X27" i="62"/>
  <c r="AD27" i="62"/>
  <c r="Z30" i="62"/>
  <c r="AD29" i="62"/>
  <c r="X32" i="62"/>
  <c r="AC30" i="62"/>
  <c r="AD30" i="62"/>
  <c r="AD32" i="62"/>
  <c r="X28" i="61"/>
  <c r="Z27" i="61"/>
  <c r="Y30" i="61"/>
  <c r="O25" i="61"/>
  <c r="AC32" i="62"/>
  <c r="AD28" i="62"/>
  <c r="Z27" i="62"/>
  <c r="T31" i="60" l="1"/>
  <c r="O32" i="60"/>
  <c r="P32" i="60"/>
  <c r="T32" i="60"/>
  <c r="Q32" i="60"/>
  <c r="R32" i="60"/>
  <c r="S32" i="60"/>
  <c r="U32" i="60"/>
  <c r="AA30" i="60"/>
  <c r="Y32" i="60"/>
  <c r="Z32" i="60"/>
  <c r="X32" i="60"/>
  <c r="AA32" i="60"/>
  <c r="AC32" i="60"/>
  <c r="AD32" i="60"/>
  <c r="AB32" i="60"/>
  <c r="P29" i="61"/>
  <c r="R32" i="61"/>
  <c r="O32" i="61"/>
  <c r="S32" i="61"/>
  <c r="T32" i="61"/>
  <c r="P32" i="61"/>
  <c r="U32" i="61"/>
  <c r="Q32" i="61"/>
  <c r="Q30" i="62"/>
  <c r="T31" i="62"/>
  <c r="S31" i="62"/>
  <c r="R31" i="62"/>
  <c r="Q31" i="62"/>
  <c r="P31" i="62"/>
  <c r="U31" i="62"/>
  <c r="O31" i="62"/>
  <c r="G5" i="60"/>
  <c r="G4" i="60" s="1"/>
  <c r="T29" i="62"/>
  <c r="O27" i="62"/>
  <c r="T28" i="62"/>
  <c r="S32" i="62"/>
  <c r="Q27" i="61"/>
  <c r="AD30" i="60"/>
  <c r="S30" i="60"/>
  <c r="U31" i="60"/>
  <c r="O31" i="60"/>
  <c r="U28" i="60"/>
  <c r="U30" i="60"/>
  <c r="U29" i="60"/>
  <c r="O30" i="60"/>
  <c r="O29" i="60"/>
  <c r="P28" i="60"/>
  <c r="P27" i="60"/>
  <c r="Q31" i="60"/>
  <c r="Q30" i="60"/>
  <c r="R29" i="60"/>
  <c r="R28" i="60"/>
  <c r="R27" i="60"/>
  <c r="S31" i="60"/>
  <c r="T30" i="60"/>
  <c r="T29" i="60"/>
  <c r="T28" i="60"/>
  <c r="T27" i="60"/>
  <c r="U27" i="60"/>
  <c r="O27" i="60"/>
  <c r="P31" i="60"/>
  <c r="P30" i="60"/>
  <c r="P29" i="60"/>
  <c r="O28" i="60"/>
  <c r="Q28" i="60"/>
  <c r="Q27" i="60"/>
  <c r="R31" i="60"/>
  <c r="R30" i="60"/>
  <c r="Q29" i="60"/>
  <c r="S29" i="60"/>
  <c r="S28" i="60"/>
  <c r="S27" i="60"/>
  <c r="S31" i="61"/>
  <c r="O28" i="61"/>
  <c r="AB28" i="60"/>
  <c r="E5" i="61"/>
  <c r="G5" i="61" s="1"/>
  <c r="I5" i="61" s="1"/>
  <c r="AC31" i="60"/>
  <c r="R29" i="61"/>
  <c r="S28" i="61"/>
  <c r="Q29" i="61"/>
  <c r="R30" i="61"/>
  <c r="Q28" i="62"/>
  <c r="P32" i="62"/>
  <c r="P30" i="62"/>
  <c r="U27" i="62"/>
  <c r="T30" i="61"/>
  <c r="U29" i="61"/>
  <c r="R28" i="61"/>
  <c r="T31" i="61"/>
  <c r="S29" i="62"/>
  <c r="Q27" i="62"/>
  <c r="R32" i="62"/>
  <c r="Q29" i="62"/>
  <c r="O27" i="61"/>
  <c r="Q31" i="61"/>
  <c r="P31" i="61"/>
  <c r="U30" i="62"/>
  <c r="S28" i="62"/>
  <c r="O28" i="62"/>
  <c r="T27" i="62"/>
  <c r="S29" i="61"/>
  <c r="U31" i="61"/>
  <c r="S27" i="61"/>
  <c r="U32" i="62"/>
  <c r="O32" i="62"/>
  <c r="U29" i="62"/>
  <c r="S27" i="62"/>
  <c r="P29" i="62"/>
  <c r="U30" i="61"/>
  <c r="T28" i="61"/>
  <c r="U28" i="61"/>
  <c r="P28" i="62"/>
  <c r="S30" i="62"/>
  <c r="O30" i="62"/>
  <c r="U28" i="62"/>
  <c r="R30" i="62"/>
  <c r="O31" i="61"/>
  <c r="P30" i="61"/>
  <c r="O29" i="61"/>
  <c r="R29" i="62"/>
  <c r="P27" i="62"/>
  <c r="Q32" i="62"/>
  <c r="O29" i="62"/>
  <c r="T32" i="62"/>
  <c r="AB27" i="60"/>
  <c r="S30" i="61"/>
  <c r="R31" i="61"/>
  <c r="Q30" i="61"/>
  <c r="T30" i="62"/>
  <c r="R28" i="62"/>
  <c r="R27" i="62"/>
  <c r="Q28" i="61"/>
  <c r="O30" i="61"/>
  <c r="P27" i="61"/>
  <c r="T27" i="61"/>
  <c r="P28" i="61"/>
  <c r="U27" i="61"/>
  <c r="R27" i="61"/>
  <c r="T29" i="61"/>
  <c r="X31" i="60"/>
  <c r="AD29" i="60"/>
  <c r="AD28" i="60"/>
  <c r="AD27" i="60"/>
  <c r="AA29" i="60"/>
  <c r="X30" i="60"/>
  <c r="X29" i="60"/>
  <c r="X28" i="60"/>
  <c r="Y28" i="60"/>
  <c r="Y27" i="60"/>
  <c r="Z31" i="60"/>
  <c r="Z30" i="60"/>
  <c r="Z29" i="60"/>
  <c r="AC30" i="60"/>
  <c r="AA28" i="60"/>
  <c r="AA31" i="60"/>
  <c r="AB31" i="60"/>
  <c r="AB30" i="60"/>
  <c r="X27" i="60"/>
  <c r="AC29" i="60"/>
  <c r="AA27" i="60"/>
  <c r="AC27" i="60"/>
  <c r="AD31" i="60"/>
  <c r="E5" i="62"/>
  <c r="G5" i="62" s="1"/>
  <c r="I5" i="62" s="1"/>
  <c r="Z28" i="60"/>
  <c r="Y31" i="60"/>
  <c r="AC28" i="60"/>
  <c r="Y29" i="60"/>
  <c r="AB29" i="60"/>
  <c r="Z27" i="60"/>
  <c r="Y30" i="60"/>
  <c r="I5" i="60" l="1"/>
  <c r="K5" i="60" s="1"/>
  <c r="E4" i="61"/>
  <c r="G4" i="61"/>
  <c r="G4" i="62"/>
  <c r="E4" i="62"/>
  <c r="K5" i="62"/>
  <c r="I4" i="62"/>
  <c r="K5" i="61"/>
  <c r="I4" i="61"/>
  <c r="I4" i="60" l="1"/>
  <c r="O5" i="62"/>
  <c r="K4" i="62"/>
  <c r="O5" i="61"/>
  <c r="K4" i="61"/>
  <c r="O5" i="60"/>
  <c r="K4" i="60"/>
  <c r="W5" i="62" l="1"/>
  <c r="O4" i="62"/>
  <c r="W5" i="61"/>
  <c r="O4" i="61"/>
  <c r="W5" i="60"/>
  <c r="O4" i="60"/>
  <c r="C7" i="62" l="1"/>
  <c r="E8" i="62" s="1"/>
  <c r="G8" i="62" s="1"/>
  <c r="I8" i="62" s="1"/>
  <c r="K8" i="62" s="1"/>
  <c r="O8" i="62" s="1"/>
  <c r="W8" i="62" s="1"/>
  <c r="C10" i="62" s="1"/>
  <c r="E11" i="62" s="1"/>
  <c r="G11" i="62" s="1"/>
  <c r="I11" i="62" s="1"/>
  <c r="K11" i="62" s="1"/>
  <c r="O11" i="62" s="1"/>
  <c r="W11" i="62" s="1"/>
  <c r="C13" i="62" s="1"/>
  <c r="E14" i="62" s="1"/>
  <c r="G14" i="62" s="1"/>
  <c r="I14" i="62" s="1"/>
  <c r="K14" i="62" s="1"/>
  <c r="O14" i="62" s="1"/>
  <c r="W14" i="62" s="1"/>
  <c r="C16" i="62" s="1"/>
  <c r="E17" i="62" s="1"/>
  <c r="W4" i="62"/>
  <c r="C7" i="61"/>
  <c r="E8" i="61" s="1"/>
  <c r="G8" i="61" s="1"/>
  <c r="I8" i="61" s="1"/>
  <c r="K8" i="61" s="1"/>
  <c r="O8" i="61" s="1"/>
  <c r="W8" i="61" s="1"/>
  <c r="C10" i="61" s="1"/>
  <c r="E11" i="61" s="1"/>
  <c r="G11" i="61" s="1"/>
  <c r="I11" i="61" s="1"/>
  <c r="K11" i="61" s="1"/>
  <c r="O11" i="61" s="1"/>
  <c r="W11" i="61" s="1"/>
  <c r="C13" i="61" s="1"/>
  <c r="E14" i="61" s="1"/>
  <c r="G14" i="61" s="1"/>
  <c r="I14" i="61" s="1"/>
  <c r="K14" i="61" s="1"/>
  <c r="O14" i="61" s="1"/>
  <c r="W14" i="61" s="1"/>
  <c r="C16" i="61" s="1"/>
  <c r="E17" i="61" s="1"/>
  <c r="G17" i="61" s="1"/>
  <c r="I17" i="61" s="1"/>
  <c r="K17" i="61" s="1"/>
  <c r="O17" i="61" s="1"/>
  <c r="W17" i="61" s="1"/>
  <c r="C19" i="61" s="1"/>
  <c r="E20" i="61" s="1"/>
  <c r="G20" i="61" s="1"/>
  <c r="I20" i="61" s="1"/>
  <c r="K20" i="61" s="1"/>
  <c r="O20" i="61" s="1"/>
  <c r="W20" i="61" s="1"/>
  <c r="W4" i="61"/>
  <c r="C7" i="60"/>
  <c r="E8" i="60" s="1"/>
  <c r="G8" i="60" s="1"/>
  <c r="I8" i="60" s="1"/>
  <c r="K8" i="60" s="1"/>
  <c r="O8" i="60" s="1"/>
  <c r="W8" i="60" s="1"/>
  <c r="C10" i="60" s="1"/>
  <c r="E11" i="60" s="1"/>
  <c r="G11" i="60" s="1"/>
  <c r="I11" i="60" s="1"/>
  <c r="K11" i="60" s="1"/>
  <c r="O11" i="60" s="1"/>
  <c r="W11" i="60" s="1"/>
  <c r="C13" i="60" s="1"/>
  <c r="E14" i="60" s="1"/>
  <c r="G14" i="60" s="1"/>
  <c r="I14" i="60" s="1"/>
  <c r="K14" i="60" s="1"/>
  <c r="O14" i="60" s="1"/>
  <c r="W14" i="60" s="1"/>
  <c r="C16" i="60" s="1"/>
  <c r="E17" i="60" s="1"/>
  <c r="G17" i="60" s="1"/>
  <c r="I17" i="60" s="1"/>
  <c r="K17" i="60" s="1"/>
  <c r="O17" i="60" s="1"/>
  <c r="W17" i="60" s="1"/>
  <c r="C19" i="60" s="1"/>
  <c r="E20" i="60" s="1"/>
  <c r="G20" i="60" s="1"/>
  <c r="I20" i="60" s="1"/>
  <c r="K20" i="60" s="1"/>
  <c r="O20" i="60" s="1"/>
  <c r="W20" i="60" s="1"/>
  <c r="W4" i="60"/>
  <c r="G17" i="62" l="1"/>
  <c r="I17" i="62" s="1"/>
  <c r="K17" i="62" s="1"/>
  <c r="O17" i="62" s="1"/>
  <c r="W17" i="62" s="1"/>
  <c r="C19" i="62" s="1"/>
  <c r="E20" i="62" s="1"/>
  <c r="G20" i="62" s="1"/>
  <c r="I20" i="62" s="1"/>
  <c r="K20" i="62" s="1"/>
  <c r="O20" i="62" s="1"/>
  <c r="W20" i="62" s="1"/>
</calcChain>
</file>

<file path=xl/sharedStrings.xml><?xml version="1.0" encoding="utf-8"?>
<sst xmlns="http://schemas.openxmlformats.org/spreadsheetml/2006/main" count="72" uniqueCount="62">
  <si>
    <t>Notes</t>
  </si>
  <si>
    <t>Year</t>
  </si>
  <si>
    <t>Start Day of Week</t>
  </si>
  <si>
    <t>How to Use This Template</t>
  </si>
  <si>
    <t>Step 1:</t>
  </si>
  <si>
    <t>Step 3:</t>
  </si>
  <si>
    <t>Customize the Theme Colors / Fonts</t>
  </si>
  <si>
    <t>Step 4:</t>
  </si>
  <si>
    <t>Print to Paper or PDF</t>
  </si>
  <si>
    <t>Print the entire workbook, or print only the selected worksheets.</t>
  </si>
  <si>
    <t>Time Entry</t>
  </si>
  <si>
    <r>
      <t>Step 2:</t>
    </r>
    <r>
      <rPr>
        <b/>
        <sz val="12"/>
        <color theme="1" tint="0.34998626667073579"/>
        <rFont val="Seaford"/>
        <scheme val="minor"/>
      </rPr>
      <t xml:space="preserve"> </t>
    </r>
  </si>
  <si>
    <r>
      <t xml:space="preserve">Choose the </t>
    </r>
    <r>
      <rPr>
        <b/>
        <sz val="12"/>
        <color theme="2" tint="-0.89999084444715716"/>
        <rFont val="Seaford"/>
        <scheme val="minor"/>
      </rPr>
      <t>Start Day</t>
    </r>
  </si>
  <si>
    <r>
      <t xml:space="preserve">Go to </t>
    </r>
    <r>
      <rPr>
        <b/>
        <sz val="12"/>
        <color theme="2" tint="-0.89999084444715716"/>
        <rFont val="Seaford"/>
        <scheme val="minor"/>
      </rPr>
      <t>Page Layout &gt; Themes</t>
    </r>
    <r>
      <rPr>
        <sz val="12"/>
        <color theme="2" tint="-0.89999084444715716"/>
        <rFont val="Seaford"/>
        <scheme val="minor"/>
      </rPr>
      <t xml:space="preserve"> to choose different colors and fonts.</t>
    </r>
  </si>
  <si>
    <r>
      <t xml:space="preserve"> Enter the </t>
    </r>
    <r>
      <rPr>
        <b/>
        <sz val="12"/>
        <color theme="2" tint="-0.89999084444715716"/>
        <rFont val="Seaford"/>
        <scheme val="minor"/>
      </rPr>
      <t>Year</t>
    </r>
    <r>
      <rPr>
        <sz val="12"/>
        <color theme="2" tint="-0.89999084444715716"/>
        <rFont val="Seaford"/>
        <scheme val="minor"/>
      </rPr>
      <t xml:space="preserve"> </t>
    </r>
  </si>
  <si>
    <t>DEMO</t>
  </si>
  <si>
    <t>Presentation + Portfolio Due</t>
  </si>
  <si>
    <t>MCTR1: ICD templates, carriage build</t>
  </si>
  <si>
    <t>MCTR1: Design of carriage v2</t>
  </si>
  <si>
    <t>MCTR1: carriage v2 test</t>
  </si>
  <si>
    <t>Shared milestone calendar sodat ons kan sien wanneer wie wat gedoen wil he, en sodat ons n volle prentjie het</t>
  </si>
  <si>
    <t>van die tyd wat oor is en wat verby gaan.</t>
  </si>
  <si>
    <t>Sit asseblief julle eie milestones in onder jou package naam</t>
  </si>
  <si>
    <t>Time to DEMO:</t>
  </si>
  <si>
    <t>and</t>
  </si>
  <si>
    <t>days</t>
  </si>
  <si>
    <t>weeks</t>
  </si>
  <si>
    <t>MCTR1: Gearbox design</t>
  </si>
  <si>
    <t>MCTR1: Carraige v2 design</t>
  </si>
  <si>
    <t>EEII1: ICD complete with REII and MCTR2</t>
  </si>
  <si>
    <t>EEII1:Working low voltage switching circuit in thevinin lab(one IGBT +driver +opto)</t>
  </si>
  <si>
    <r>
      <t xml:space="preserve">MCTR1: Enclosure final + fit test                    </t>
    </r>
    <r>
      <rPr>
        <sz val="10"/>
        <color rgb="FF00B0F0"/>
        <rFont val="Seaford"/>
        <scheme val="minor"/>
      </rPr>
      <t xml:space="preserve"> </t>
    </r>
  </si>
  <si>
    <t xml:space="preserve"> EEII1: Final Drive circuit complete+DB box wired</t>
  </si>
  <si>
    <t>EEII1: PCB manufactured by MR van Huysteen</t>
  </si>
  <si>
    <t>EERI 324</t>
  </si>
  <si>
    <t>EERI 321</t>
  </si>
  <si>
    <t>MCTR2: Motor characterise in heavy current lab with avalable VFD's</t>
  </si>
  <si>
    <t>MCTR2: Start with gearbox casing build</t>
  </si>
  <si>
    <t>EERI321: PRACTICAL 2 submission</t>
  </si>
  <si>
    <t>EERI321: Semester T3</t>
  </si>
  <si>
    <t>REII: Individual checkpoint due - nRF24 link characterisation report + recommended config</t>
  </si>
  <si>
    <t>REII: I3 begins - ICD_REII drafted &amp; signed off in week 1</t>
  </si>
  <si>
    <t>EEII 321                 Group: Finalize all ICDs
REII: ICD_REII signed (v1.0, v1.1 if pins/timings changed)</t>
  </si>
  <si>
    <t>Group: Finish performance test reports and Individual portfolios
REII: RF/rail test report + individual portfolio</t>
  </si>
  <si>
    <t>Group: First integration test                               EEII1: Testing with PWM of REII in Heavy current lab
REII: dashboard + dongle + controller link</t>
  </si>
  <si>
    <t>REII: participation evidence captured - scope TBD, confirm w/ lecturer (F-08)</t>
  </si>
  <si>
    <t>REII: gate - Controller Spec + ESP32 codebase obtained; board powered (planned, not agreed)</t>
  </si>
  <si>
    <t>MCTR1: Carriage motor drive test, carriage v3 test EEII1:Order heat sinks and power supply(at the latest) MCTR2: Starting with all final draft printing parts
REII: controller board delivery (estimate, Checkpoint2) - input to ESP32 nRF stub + integration</t>
  </si>
  <si>
    <t>Group: Final touches
REII: demo dry-run + evidence pack check (planned, not agreed)</t>
  </si>
  <si>
    <t>REII: STM32F411 dongle bring-up (planned, not agreed)
· CDC echo capture
· SPI + Table 2 radio init read-back
· USB&lt;-&gt;RF bridge PING/PONG</t>
  </si>
  <si>
    <t>REII: dashboard cmd + telemetry path (planned, not agreed)
· Idle/Move/E-stop/Magnet cmd exec
· telemetry no sequence gaps
· fault display capture (internal target)</t>
  </si>
  <si>
    <t>REII: anti-sway model + open-loop profile generator (planned, not agreed)
· pendulum model; sway freq identified
· else S-curve baseline only (D-04)</t>
  </si>
  <si>
    <t>REII: on-rail integration - INTERFACE_MATRIX rows (planned, not agreed)
· rail RF re-survey + group channel plan
· 5/10 m N=1000 ACK runs + NLOS point
· evidence: results/i3_rail/ + TEST_LOG</t>
  </si>
  <si>
    <t>REII: rail sway measurement (planned, not agreed)
· flat vs shaped profile
· log + plot position/time
· pass bound = internal, not SysRS</t>
  </si>
  <si>
    <t>REII: obstacle/path-planning gate (planned, not agreed)
· known-obstacle map source cited
· planner output = MCTR cmd format
· run vs modelled path evidence</t>
  </si>
  <si>
    <t>REII: I3 handoff pack + demo evidence (planned, not agreed)
· INTERFACE_MATRIX + TEST_LOG filled
· NCR list w/ owners + sign-off
· demo run-through capture</t>
  </si>
  <si>
    <t>EERI 325             Group: Integration successful
REII: REII integration verified gate (link + dashboard + sway)
· INTERFACE_MATRIX all-pass or NCRs w/ owners</t>
  </si>
  <si>
    <r>
      <t xml:space="preserve">MCTR1: Enclosure v1 test,  ICD complete with- REII, ICD complete with- MCTR2?
</t>
    </r>
    <r>
      <rPr>
        <sz val="10"/>
        <color theme="9"/>
        <rFont val="Seaford"/>
        <scheme val="minor"/>
      </rPr>
      <t>REII: ESP32 nRF24 stub complete - RX mode + Table 2 SPI read-back (planned, not agreed)</t>
    </r>
  </si>
  <si>
    <t>REII: ICD Sec 4 payload freeze w/ MCTR+EEII (planned, not agreed)
· D-01 byte maps + version byte rule</t>
  </si>
  <si>
    <t>REII: bench  for 26 Oct (planned, not agreed)
· PING-&gt;PONG ch77/2M, 200-pkt smoke CSV
· 32-B pack/unpack byte-exact loopback
· else raise NCRs before group test</t>
  </si>
  <si>
    <t>REII: pre-integration (planned, not agreed)
· isolation bench-verify + HW E-stop path (pre-live drivers)
· MCTR-I profile format D-04 + encoder handoff</t>
  </si>
  <si>
    <r>
      <t xml:space="preserve">MCTR1: Carriage v2 build                            </t>
    </r>
    <r>
      <rPr>
        <sz val="10"/>
        <color rgb="FFFFC000"/>
        <rFont val="Seaford"/>
        <scheme val="minor"/>
      </rPr>
      <t>EEII2: Contact suppliers for material quotes, Femm simulation tests, Speak to Hopewell on campus</t>
    </r>
    <r>
      <rPr>
        <sz val="10"/>
        <color theme="2" tint="-0.89999084444715716"/>
        <rFont val="Seaford"/>
        <scheme val="minor"/>
      </rPr>
      <t xml:space="preserve">                                  </t>
    </r>
    <r>
      <rPr>
        <sz val="10"/>
        <color rgb="FFFFC000"/>
        <rFont val="Seaford"/>
        <scheme val="minor"/>
      </rPr>
      <t>Obtain winding wire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</si>
</sst>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d"/>
    <numFmt numFmtId="166" formatCode="mmmm\ \'yy"/>
    <numFmt numFmtId="167" formatCode="mmmm\ yyyy"/>
    <numFmt numFmtId="168" formatCode="dddd"/>
  </numFmts>
  <fonts count="44" x14ac:knownFonts="1">
    <font>
      <sz val="10"/>
      <name val="Arial"/>
      <family val="2"/>
    </font>
    <font>
      <sz val="11"/>
      <color theme="1"/>
      <name val="Seaford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Seaford"/>
      <scheme val="minor"/>
    </font>
    <font>
      <sz val="12"/>
      <name val="Seaford"/>
      <scheme val="minor"/>
    </font>
    <font>
      <b/>
      <sz val="36"/>
      <color theme="0"/>
      <name val="Seaford"/>
      <scheme val="minor"/>
    </font>
    <font>
      <b/>
      <sz val="48"/>
      <color theme="8"/>
      <name val="Seaford"/>
      <scheme val="minor"/>
    </font>
    <font>
      <sz val="12"/>
      <color theme="2" tint="-0.89999084444715716"/>
      <name val="Seaford"/>
      <scheme val="minor"/>
    </font>
    <font>
      <b/>
      <sz val="12"/>
      <name val="Seaford"/>
      <scheme val="minor"/>
    </font>
    <font>
      <b/>
      <sz val="12"/>
      <color theme="4" tint="-0.249977111117893"/>
      <name val="Seaford"/>
      <scheme val="minor"/>
    </font>
    <font>
      <b/>
      <sz val="12"/>
      <color theme="2" tint="-0.89999084444715716"/>
      <name val="Seaford"/>
      <scheme val="minor"/>
    </font>
    <font>
      <sz val="10"/>
      <color theme="2" tint="-0.89999084444715716"/>
      <name val="Seaford"/>
      <scheme val="minor"/>
    </font>
    <font>
      <b/>
      <sz val="12"/>
      <color theme="1" tint="0.34998626667073579"/>
      <name val="Seaford"/>
      <scheme val="minor"/>
    </font>
    <font>
      <b/>
      <sz val="12"/>
      <color theme="0"/>
      <name val="Seaford"/>
      <scheme val="minor"/>
    </font>
    <font>
      <sz val="8"/>
      <name val="Seaford"/>
      <scheme val="minor"/>
    </font>
    <font>
      <sz val="7"/>
      <name val="Seaford"/>
      <scheme val="minor"/>
    </font>
    <font>
      <b/>
      <sz val="48"/>
      <color theme="4" tint="-0.249977111117893"/>
      <name val="Seaford"/>
      <scheme val="minor"/>
    </font>
    <font>
      <sz val="14"/>
      <name val="Seaford"/>
      <scheme val="minor"/>
    </font>
    <font>
      <b/>
      <sz val="14"/>
      <color theme="1" tint="0.34998626667073579"/>
      <name val="Seaford"/>
      <scheme val="minor"/>
    </font>
    <font>
      <b/>
      <sz val="14"/>
      <color theme="1" tint="0.499984740745262"/>
      <name val="Seaford"/>
      <scheme val="minor"/>
    </font>
    <font>
      <u/>
      <sz val="11"/>
      <color theme="1" tint="0.34998626667073579"/>
      <name val="Seaford"/>
      <scheme val="minor"/>
    </font>
    <font>
      <u/>
      <sz val="11"/>
      <color theme="1" tint="0.499984740745262"/>
      <name val="Seaford"/>
      <scheme val="minor"/>
    </font>
    <font>
      <sz val="10"/>
      <color theme="1" tint="0.34998626667073579"/>
      <name val="Seaford"/>
      <scheme val="minor"/>
    </font>
    <font>
      <b/>
      <sz val="24"/>
      <color theme="8"/>
      <name val="Seaford"/>
      <scheme val="minor"/>
    </font>
    <font>
      <b/>
      <sz val="10"/>
      <color theme="0"/>
      <name val="Seaford"/>
      <scheme val="minor"/>
    </font>
    <font>
      <b/>
      <sz val="8"/>
      <name val="Seaford"/>
      <scheme val="minor"/>
    </font>
    <font>
      <b/>
      <sz val="10"/>
      <color theme="0" tint="-0.499984740745262"/>
      <name val="Seaford"/>
      <scheme val="minor"/>
    </font>
    <font>
      <sz val="8"/>
      <color theme="8"/>
      <name val="Seaford"/>
      <scheme val="minor"/>
    </font>
    <font>
      <b/>
      <sz val="36"/>
      <color theme="0"/>
      <name val="Seaford"/>
      <scheme val="major"/>
    </font>
    <font>
      <b/>
      <sz val="24"/>
      <color theme="0"/>
      <name val="Seaford"/>
      <scheme val="major"/>
    </font>
    <font>
      <b/>
      <sz val="48"/>
      <color theme="8"/>
      <name val="Seaford"/>
      <scheme val="major"/>
    </font>
    <font>
      <b/>
      <sz val="20"/>
      <name val="Seaford"/>
      <scheme val="minor"/>
    </font>
    <font>
      <b/>
      <sz val="16"/>
      <color rgb="FFFF0000"/>
      <name val="Seaford"/>
      <scheme val="minor"/>
    </font>
    <font>
      <b/>
      <sz val="18"/>
      <name val="Seaford"/>
      <scheme val="minor"/>
    </font>
    <font>
      <b/>
      <sz val="20"/>
      <color rgb="FFFF0000"/>
      <name val="Seaford"/>
      <scheme val="minor"/>
    </font>
    <font>
      <b/>
      <sz val="12"/>
      <color rgb="FFFF0000"/>
      <name val="Seaford"/>
      <scheme val="minor"/>
    </font>
    <font>
      <strike/>
      <sz val="10"/>
      <color theme="2" tint="-0.89996032593768116"/>
      <name val="Seaford"/>
      <scheme val="minor"/>
    </font>
    <font>
      <sz val="10"/>
      <color rgb="FF00B0F0"/>
      <name val="Seaford"/>
      <scheme val="minor"/>
    </font>
    <font>
      <sz val="10"/>
      <color rgb="FF7030A0"/>
      <name val="Seaford"/>
      <scheme val="minor"/>
    </font>
    <font>
      <b/>
      <sz val="10"/>
      <color rgb="FFFF0000"/>
      <name val="Seaford"/>
      <scheme val="minor"/>
    </font>
    <font>
      <sz val="10"/>
      <color rgb="FF00B050"/>
      <name val="Seaford"/>
      <scheme val="minor"/>
    </font>
    <font>
      <sz val="10"/>
      <color theme="9"/>
      <name val="Seaford"/>
      <scheme val="minor"/>
    </font>
    <font>
      <sz val="10"/>
      <color rgb="FFFFC000"/>
      <name val="Seaford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horizontal="right"/>
    </xf>
    <xf numFmtId="0" fontId="4" fillId="0" borderId="0" xfId="0" applyFont="1"/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3" borderId="0" xfId="0" applyFont="1" applyFill="1"/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8" fillId="2" borderId="5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left" vertical="center"/>
    </xf>
    <xf numFmtId="0" fontId="12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0" borderId="0" xfId="0" applyFont="1" applyAlignment="1">
      <alignment horizontal="right"/>
    </xf>
    <xf numFmtId="0" fontId="15" fillId="3" borderId="0" xfId="0" applyFont="1" applyFill="1"/>
    <xf numFmtId="0" fontId="15" fillId="0" borderId="0" xfId="0" applyFont="1"/>
    <xf numFmtId="0" fontId="16" fillId="3" borderId="0" xfId="0" applyFont="1" applyFill="1"/>
    <xf numFmtId="0" fontId="16" fillId="0" borderId="0" xfId="0" applyFont="1"/>
    <xf numFmtId="167" fontId="7" fillId="0" borderId="0" xfId="0" applyNumberFormat="1" applyFont="1"/>
    <xf numFmtId="167" fontId="17" fillId="0" borderId="0" xfId="0" applyNumberFormat="1" applyFont="1" applyAlignment="1">
      <alignment horizontal="left" vertical="top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68" fontId="14" fillId="4" borderId="0" xfId="0" applyNumberFormat="1" applyFont="1" applyFill="1" applyAlignment="1">
      <alignment horizontal="left" vertical="center" indent="1" shrinkToFit="1"/>
    </xf>
    <xf numFmtId="0" fontId="19" fillId="3" borderId="0" xfId="2" applyNumberFormat="1" applyFont="1" applyFill="1" applyAlignment="1">
      <alignment horizontal="left"/>
    </xf>
    <xf numFmtId="0" fontId="20" fillId="0" borderId="0" xfId="2" applyNumberFormat="1" applyFont="1" applyFill="1" applyAlignment="1">
      <alignment horizontal="left"/>
    </xf>
    <xf numFmtId="0" fontId="21" fillId="3" borderId="0" xfId="1" applyFont="1" applyFill="1" applyAlignment="1" applyProtection="1">
      <alignment horizontal="left"/>
    </xf>
    <xf numFmtId="0" fontId="22" fillId="0" borderId="0" xfId="1" applyFont="1" applyAlignment="1" applyProtection="1">
      <alignment horizontal="left"/>
    </xf>
    <xf numFmtId="0" fontId="15" fillId="3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8" fillId="2" borderId="6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165" fontId="8" fillId="2" borderId="1" xfId="0" applyNumberFormat="1" applyFont="1" applyFill="1" applyBorder="1" applyAlignment="1">
      <alignment horizontal="left" vertical="center" indent="1" shrinkToFit="1"/>
    </xf>
    <xf numFmtId="0" fontId="8" fillId="2" borderId="8" xfId="0" applyFont="1" applyFill="1" applyBorder="1" applyAlignment="1">
      <alignment horizontal="left" vertical="center" indent="1"/>
    </xf>
    <xf numFmtId="0" fontId="8" fillId="2" borderId="9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indent="1"/>
    </xf>
    <xf numFmtId="165" fontId="8" fillId="2" borderId="3" xfId="0" applyNumberFormat="1" applyFont="1" applyFill="1" applyBorder="1" applyAlignment="1">
      <alignment horizontal="left" vertical="center" indent="1" shrinkToFit="1"/>
    </xf>
    <xf numFmtId="165" fontId="8" fillId="2" borderId="0" xfId="0" applyNumberFormat="1" applyFont="1" applyFill="1" applyAlignment="1">
      <alignment horizontal="left" vertical="center" indent="1" shrinkToFit="1"/>
    </xf>
    <xf numFmtId="0" fontId="15" fillId="2" borderId="0" xfId="0" applyFont="1" applyFill="1" applyAlignment="1">
      <alignment horizontal="center" vertical="center"/>
    </xf>
    <xf numFmtId="0" fontId="15" fillId="2" borderId="0" xfId="1" applyFont="1" applyFill="1" applyBorder="1" applyAlignment="1" applyProtection="1">
      <alignment horizontal="left" vertical="center"/>
    </xf>
    <xf numFmtId="0" fontId="15" fillId="2" borderId="0" xfId="1" applyFont="1" applyFill="1" applyBorder="1" applyAlignment="1" applyProtection="1">
      <alignment vertical="center"/>
    </xf>
    <xf numFmtId="0" fontId="23" fillId="2" borderId="0" xfId="1" applyFont="1" applyFill="1" applyBorder="1" applyAlignment="1" applyProtection="1">
      <alignment horizontal="right" vertical="center"/>
    </xf>
    <xf numFmtId="0" fontId="15" fillId="3" borderId="0" xfId="0" applyFont="1" applyFill="1" applyAlignment="1">
      <alignment horizontal="center" vertical="center"/>
    </xf>
    <xf numFmtId="0" fontId="15" fillId="3" borderId="0" xfId="1" applyFont="1" applyFill="1" applyBorder="1" applyAlignment="1" applyProtection="1">
      <alignment horizontal="left" vertical="center"/>
    </xf>
    <xf numFmtId="0" fontId="15" fillId="3" borderId="0" xfId="1" applyFont="1" applyFill="1" applyBorder="1" applyAlignment="1" applyProtection="1">
      <alignment vertical="center"/>
    </xf>
    <xf numFmtId="0" fontId="23" fillId="3" borderId="0" xfId="1" applyFont="1" applyFill="1" applyBorder="1" applyAlignment="1" applyProtection="1">
      <alignment horizontal="right" vertical="center"/>
    </xf>
    <xf numFmtId="0" fontId="2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26" fillId="3" borderId="0" xfId="0" applyFont="1" applyFill="1" applyAlignment="1">
      <alignment horizontal="left" shrinkToFit="1"/>
    </xf>
    <xf numFmtId="0" fontId="27" fillId="0" borderId="0" xfId="0" applyFont="1" applyAlignment="1">
      <alignment horizontal="left"/>
    </xf>
    <xf numFmtId="165" fontId="28" fillId="0" borderId="0" xfId="0" applyNumberFormat="1" applyFont="1" applyAlignment="1">
      <alignment horizontal="left" vertical="center" shrinkToFit="1"/>
    </xf>
    <xf numFmtId="165" fontId="15" fillId="0" borderId="0" xfId="0" applyNumberFormat="1" applyFont="1" applyAlignment="1">
      <alignment horizontal="left" vertical="center" shrinkToFit="1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left" vertical="center" indent="2" shrinkToFi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9" fillId="4" borderId="0" xfId="0" applyFont="1" applyFill="1" applyAlignment="1">
      <alignment vertical="center"/>
    </xf>
    <xf numFmtId="165" fontId="8" fillId="2" borderId="3" xfId="0" applyNumberFormat="1" applyFont="1" applyFill="1" applyBorder="1" applyAlignment="1">
      <alignment horizontal="left" indent="1" shrinkToFit="1"/>
    </xf>
    <xf numFmtId="0" fontId="8" fillId="2" borderId="3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4" fillId="0" borderId="2" xfId="0" applyFont="1" applyBorder="1" applyAlignment="1">
      <alignment horizontal="left" indent="1"/>
    </xf>
    <xf numFmtId="165" fontId="8" fillId="2" borderId="3" xfId="0" applyNumberFormat="1" applyFont="1" applyFill="1" applyBorder="1" applyAlignment="1">
      <alignment horizontal="left" vertical="top" wrapText="1" indent="1" shrinkToFit="1"/>
    </xf>
    <xf numFmtId="0" fontId="8" fillId="2" borderId="1" xfId="0" applyFont="1" applyFill="1" applyBorder="1" applyAlignment="1">
      <alignment horizontal="left" vertical="top" wrapText="1" indent="1"/>
    </xf>
    <xf numFmtId="0" fontId="8" fillId="2" borderId="3" xfId="0" applyFont="1" applyFill="1" applyBorder="1" applyAlignment="1">
      <alignment horizontal="left" vertical="top" wrapText="1" indent="1"/>
    </xf>
    <xf numFmtId="0" fontId="8" fillId="2" borderId="0" xfId="0" applyFont="1" applyFill="1" applyAlignment="1">
      <alignment horizontal="left" vertical="top" wrapText="1" indent="1"/>
    </xf>
    <xf numFmtId="0" fontId="12" fillId="2" borderId="6" xfId="0" applyFont="1" applyFill="1" applyBorder="1" applyAlignment="1">
      <alignment horizontal="left" vertical="top" wrapText="1" indent="1"/>
    </xf>
    <xf numFmtId="0" fontId="30" fillId="4" borderId="0" xfId="0" applyFont="1" applyFill="1" applyAlignment="1">
      <alignment horizontal="center" vertical="center"/>
    </xf>
    <xf numFmtId="0" fontId="32" fillId="0" borderId="10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2" fillId="0" borderId="10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165" fontId="8" fillId="2" borderId="1" xfId="0" applyNumberFormat="1" applyFont="1" applyFill="1" applyBorder="1" applyAlignment="1">
      <alignment horizontal="left" vertical="center" indent="1" shrinkToFit="1"/>
    </xf>
    <xf numFmtId="165" fontId="8" fillId="2" borderId="3" xfId="0" applyNumberFormat="1" applyFont="1" applyFill="1" applyBorder="1" applyAlignment="1">
      <alignment horizontal="left" vertical="center" indent="1" shrinkToFit="1"/>
    </xf>
    <xf numFmtId="165" fontId="8" fillId="2" borderId="0" xfId="0" applyNumberFormat="1" applyFont="1" applyFill="1" applyAlignment="1">
      <alignment horizontal="left" vertical="center" indent="1" shrinkToFit="1"/>
    </xf>
    <xf numFmtId="0" fontId="4" fillId="0" borderId="2" xfId="0" applyFont="1" applyBorder="1" applyAlignment="1">
      <alignment horizontal="left" indent="1"/>
    </xf>
    <xf numFmtId="0" fontId="4" fillId="0" borderId="5" xfId="0" applyFont="1" applyBorder="1" applyAlignment="1">
      <alignment horizontal="left" indent="1"/>
    </xf>
    <xf numFmtId="167" fontId="31" fillId="0" borderId="0" xfId="0" applyNumberFormat="1" applyFont="1" applyAlignment="1">
      <alignment horizontal="left"/>
    </xf>
    <xf numFmtId="168" fontId="14" fillId="4" borderId="0" xfId="0" applyNumberFormat="1" applyFont="1" applyFill="1" applyAlignment="1">
      <alignment horizontal="left" vertical="center" indent="1" shrinkToFit="1"/>
    </xf>
    <xf numFmtId="165" fontId="8" fillId="2" borderId="1" xfId="0" applyNumberFormat="1" applyFont="1" applyFill="1" applyBorder="1" applyAlignment="1">
      <alignment horizontal="left" indent="1" shrinkToFit="1"/>
    </xf>
    <xf numFmtId="165" fontId="8" fillId="2" borderId="0" xfId="0" applyNumberFormat="1" applyFont="1" applyFill="1" applyAlignment="1">
      <alignment horizontal="left" indent="1" shrinkToFit="1"/>
    </xf>
    <xf numFmtId="165" fontId="8" fillId="2" borderId="3" xfId="0" applyNumberFormat="1" applyFont="1" applyFill="1" applyBorder="1" applyAlignment="1">
      <alignment horizontal="left" indent="1" shrinkToFit="1"/>
    </xf>
    <xf numFmtId="0" fontId="8" fillId="2" borderId="4" xfId="0" applyFont="1" applyFill="1" applyBorder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1"/>
    </xf>
    <xf numFmtId="0" fontId="8" fillId="5" borderId="4" xfId="0" applyFont="1" applyFill="1" applyBorder="1" applyAlignment="1">
      <alignment horizontal="left" vertical="center" indent="1"/>
    </xf>
    <xf numFmtId="0" fontId="8" fillId="5" borderId="6" xfId="0" applyFont="1" applyFill="1" applyBorder="1" applyAlignment="1">
      <alignment horizontal="left" vertical="center" indent="1"/>
    </xf>
    <xf numFmtId="0" fontId="8" fillId="5" borderId="5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41" fillId="5" borderId="4" xfId="0" applyFont="1" applyFill="1" applyBorder="1" applyAlignment="1">
      <alignment horizontal="left" vertical="top" wrapText="1" indent="1"/>
    </xf>
    <xf numFmtId="0" fontId="8" fillId="5" borderId="5" xfId="0" applyFont="1" applyFill="1" applyBorder="1" applyAlignment="1">
      <alignment horizontal="left" vertical="top" wrapText="1" indent="1"/>
    </xf>
    <xf numFmtId="0" fontId="8" fillId="5" borderId="6" xfId="0" applyFont="1" applyFill="1" applyBorder="1" applyAlignment="1">
      <alignment horizontal="left" vertical="top" wrapText="1" indent="1"/>
    </xf>
    <xf numFmtId="0" fontId="12" fillId="5" borderId="4" xfId="0" applyFont="1" applyFill="1" applyBorder="1" applyAlignment="1">
      <alignment horizontal="left" vertical="top" wrapText="1" indent="1"/>
    </xf>
    <xf numFmtId="0" fontId="12" fillId="5" borderId="5" xfId="0" applyFont="1" applyFill="1" applyBorder="1" applyAlignment="1">
      <alignment horizontal="left" vertical="top" wrapText="1" indent="1"/>
    </xf>
    <xf numFmtId="0" fontId="12" fillId="5" borderId="6" xfId="0" applyFont="1" applyFill="1" applyBorder="1" applyAlignment="1">
      <alignment horizontal="left" vertical="top" wrapText="1" indent="1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 indent="1"/>
    </xf>
    <xf numFmtId="0" fontId="24" fillId="0" borderId="0" xfId="0" applyFont="1" applyAlignment="1">
      <alignment horizontal="left" vertical="top"/>
    </xf>
    <xf numFmtId="166" fontId="25" fillId="4" borderId="0" xfId="0" applyNumberFormat="1" applyFont="1" applyFill="1" applyAlignment="1">
      <alignment horizontal="center" vertical="center"/>
    </xf>
    <xf numFmtId="0" fontId="37" fillId="5" borderId="4" xfId="0" applyFont="1" applyFill="1" applyBorder="1" applyAlignment="1">
      <alignment horizontal="left" vertical="top" wrapText="1" indent="1"/>
    </xf>
    <xf numFmtId="0" fontId="37" fillId="5" borderId="6" xfId="0" applyFont="1" applyFill="1" applyBorder="1" applyAlignment="1">
      <alignment horizontal="left" vertical="top" wrapText="1" indent="1"/>
    </xf>
    <xf numFmtId="0" fontId="8" fillId="2" borderId="4" xfId="0" applyFont="1" applyFill="1" applyBorder="1" applyAlignment="1">
      <alignment horizontal="left" vertical="top" wrapText="1" indent="1"/>
    </xf>
    <xf numFmtId="0" fontId="8" fillId="2" borderId="6" xfId="0" applyFont="1" applyFill="1" applyBorder="1" applyAlignment="1">
      <alignment horizontal="left" vertical="top" wrapText="1" indent="1"/>
    </xf>
    <xf numFmtId="0" fontId="37" fillId="5" borderId="5" xfId="0" applyFont="1" applyFill="1" applyBorder="1" applyAlignment="1">
      <alignment horizontal="left" vertical="top" wrapText="1" indent="1"/>
    </xf>
    <xf numFmtId="0" fontId="12" fillId="2" borderId="4" xfId="0" applyFont="1" applyFill="1" applyBorder="1" applyAlignment="1">
      <alignment horizontal="left" vertical="top" wrapText="1" indent="1"/>
    </xf>
    <xf numFmtId="0" fontId="12" fillId="2" borderId="5" xfId="0" applyFont="1" applyFill="1" applyBorder="1" applyAlignment="1">
      <alignment horizontal="left" vertical="top" wrapText="1" indent="1"/>
    </xf>
    <xf numFmtId="0" fontId="12" fillId="2" borderId="6" xfId="0" applyFont="1" applyFill="1" applyBorder="1" applyAlignment="1">
      <alignment horizontal="left" vertical="top" wrapText="1" indent="1"/>
    </xf>
    <xf numFmtId="0" fontId="38" fillId="2" borderId="4" xfId="0" applyFont="1" applyFill="1" applyBorder="1" applyAlignment="1">
      <alignment horizontal="left" vertical="top" wrapText="1" indent="1"/>
    </xf>
    <xf numFmtId="0" fontId="42" fillId="2" borderId="4" xfId="0" applyFont="1" applyFill="1" applyBorder="1" applyAlignment="1">
      <alignment horizontal="left" vertical="top" wrapText="1" indent="1"/>
    </xf>
    <xf numFmtId="0" fontId="42" fillId="2" borderId="6" xfId="0" applyFont="1" applyFill="1" applyBorder="1" applyAlignment="1">
      <alignment horizontal="left" vertical="top" wrapText="1" indent="1"/>
    </xf>
    <xf numFmtId="0" fontId="40" fillId="2" borderId="4" xfId="0" applyFont="1" applyFill="1" applyBorder="1" applyAlignment="1">
      <alignment horizontal="left" vertical="top" wrapText="1" indent="1"/>
    </xf>
    <xf numFmtId="0" fontId="42" fillId="2" borderId="5" xfId="0" applyFont="1" applyFill="1" applyBorder="1" applyAlignment="1">
      <alignment horizontal="left" vertical="top" wrapText="1" indent="1"/>
    </xf>
    <xf numFmtId="0" fontId="39" fillId="2" borderId="4" xfId="0" applyFont="1" applyFill="1" applyBorder="1" applyAlignment="1">
      <alignment horizontal="left" vertical="top" wrapText="1" indent="1"/>
    </xf>
    <xf numFmtId="0" fontId="41" fillId="2" borderId="4" xfId="0" applyFont="1" applyFill="1" applyBorder="1" applyAlignment="1">
      <alignment horizontal="left" vertical="top" wrapText="1" indent="1"/>
    </xf>
    <xf numFmtId="165" fontId="8" fillId="2" borderId="1" xfId="0" applyNumberFormat="1" applyFont="1" applyFill="1" applyBorder="1" applyAlignment="1">
      <alignment horizontal="left" vertical="top" wrapText="1" indent="1" shrinkToFit="1"/>
    </xf>
    <xf numFmtId="165" fontId="8" fillId="2" borderId="3" xfId="0" applyNumberFormat="1" applyFont="1" applyFill="1" applyBorder="1" applyAlignment="1">
      <alignment horizontal="left" vertical="top" wrapText="1" indent="1" shrinkToFit="1"/>
    </xf>
    <xf numFmtId="0" fontId="8" fillId="2" borderId="1" xfId="0" applyFont="1" applyFill="1" applyBorder="1" applyAlignment="1">
      <alignment horizontal="left" vertical="top" wrapText="1" indent="1"/>
    </xf>
    <xf numFmtId="0" fontId="8" fillId="2" borderId="3" xfId="0" applyFont="1" applyFill="1" applyBorder="1" applyAlignment="1">
      <alignment horizontal="left" vertical="top" wrapText="1" indent="1"/>
    </xf>
    <xf numFmtId="0" fontId="8" fillId="2" borderId="0" xfId="0" applyFont="1" applyFill="1" applyAlignment="1">
      <alignment horizontal="left" vertical="top" wrapText="1" indent="1"/>
    </xf>
    <xf numFmtId="165" fontId="8" fillId="2" borderId="0" xfId="0" applyNumberFormat="1" applyFont="1" applyFill="1" applyAlignment="1">
      <alignment horizontal="left" vertical="top" wrapText="1" indent="1" shrinkToFit="1"/>
    </xf>
    <xf numFmtId="0" fontId="8" fillId="2" borderId="5" xfId="0" applyFont="1" applyFill="1" applyBorder="1" applyAlignment="1">
      <alignment horizontal="left" vertical="top" wrapText="1" indent="1"/>
    </xf>
    <xf numFmtId="0" fontId="36" fillId="2" borderId="4" xfId="0" applyFont="1" applyFill="1" applyBorder="1" applyAlignment="1">
      <alignment horizontal="left" vertical="top" wrapText="1" indent="1"/>
    </xf>
    <xf numFmtId="0" fontId="11" fillId="2" borderId="6" xfId="0" applyFont="1" applyFill="1" applyBorder="1" applyAlignment="1">
      <alignment horizontal="left" vertical="top" wrapText="1" indent="1"/>
    </xf>
  </cellXfs>
  <cellStyles count="4">
    <cellStyle name="Comma" xfId="2" builtinId="3"/>
    <cellStyle name="Hyperlink" xfId="1" builtinId="8" customBuiltin="1"/>
    <cellStyle name="Normal" xfId="0" builtinId="0" customBuiltin="1"/>
    <cellStyle name="Normal 2" xfId="3" xr:uid="{00000000-0005-0000-0000-000003000000}"/>
  </cellStyles>
  <dxfs count="12"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D7EA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23">
      <a:majorFont>
        <a:latin typeface="Seaford"/>
        <a:ea typeface=""/>
        <a:cs typeface=""/>
      </a:majorFont>
      <a:minorFont>
        <a:latin typeface="Seafor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BA47-785D-431D-A298-3F8FCC93CECA}">
  <sheetPr>
    <pageSetUpPr fitToPage="1"/>
  </sheetPr>
  <dimension ref="A1:R15"/>
  <sheetViews>
    <sheetView showGridLines="0" topLeftCell="A6" workbookViewId="0">
      <selection activeCell="P8" sqref="P8"/>
    </sheetView>
  </sheetViews>
  <sheetFormatPr defaultColWidth="8.7109375" defaultRowHeight="15" x14ac:dyDescent="0.2"/>
  <cols>
    <col min="1" max="4" width="5.5703125" style="3" customWidth="1"/>
    <col min="5" max="9" width="10.5703125" style="3" customWidth="1"/>
    <col min="10" max="11" width="10.5703125" style="28" customWidth="1"/>
    <col min="12" max="14" width="5.5703125" style="3" customWidth="1"/>
    <col min="15" max="15" width="25.5703125" style="3" customWidth="1"/>
    <col min="16" max="16" width="10.5703125" style="3" customWidth="1"/>
    <col min="17" max="18" width="5.5703125" style="3" customWidth="1"/>
    <col min="19" max="16384" width="8.7109375" style="3"/>
  </cols>
  <sheetData>
    <row r="1" spans="1:18" ht="24.95" customHeight="1" x14ac:dyDescent="0.2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1"/>
      <c r="M1" s="1"/>
      <c r="N1" s="1"/>
      <c r="O1" s="1"/>
      <c r="P1" s="1"/>
      <c r="Q1" s="1"/>
      <c r="R1" s="1"/>
    </row>
    <row r="2" spans="1:18" s="7" customFormat="1" ht="75" customHeight="1" x14ac:dyDescent="0.2">
      <c r="A2" s="4"/>
      <c r="B2" s="5"/>
      <c r="C2" s="73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4"/>
    </row>
    <row r="3" spans="1:18" ht="24.95" customHeight="1" x14ac:dyDescent="0.8">
      <c r="A3" s="1"/>
      <c r="B3" s="1"/>
      <c r="C3" s="8"/>
      <c r="D3" s="8"/>
      <c r="E3" s="1"/>
      <c r="F3" s="1"/>
      <c r="G3" s="1"/>
      <c r="H3" s="1"/>
      <c r="I3" s="1"/>
      <c r="J3" s="9"/>
      <c r="K3" s="9"/>
      <c r="L3" s="10"/>
      <c r="M3" s="1"/>
      <c r="N3" s="1"/>
      <c r="O3" s="1"/>
      <c r="P3" s="1"/>
      <c r="Q3" s="1"/>
      <c r="R3" s="1"/>
    </row>
    <row r="4" spans="1:18" ht="30" customHeight="1" x14ac:dyDescent="0.2">
      <c r="A4" s="1"/>
      <c r="B4" s="11"/>
      <c r="C4" s="11"/>
      <c r="D4" s="11"/>
      <c r="E4" s="11"/>
      <c r="F4" s="11"/>
      <c r="G4" s="11"/>
      <c r="H4" s="11"/>
      <c r="I4" s="11"/>
      <c r="J4" s="12"/>
      <c r="K4" s="12"/>
      <c r="L4" s="11"/>
      <c r="M4" s="1"/>
      <c r="N4" s="83" t="s">
        <v>10</v>
      </c>
      <c r="O4" s="83"/>
      <c r="P4" s="83"/>
      <c r="Q4" s="83"/>
      <c r="R4" s="1"/>
    </row>
    <row r="5" spans="1:18" ht="30" customHeight="1" x14ac:dyDescent="0.2">
      <c r="A5" s="1"/>
      <c r="B5" s="11"/>
      <c r="C5" s="13" t="s">
        <v>4</v>
      </c>
      <c r="D5" s="13"/>
      <c r="E5" s="14" t="s">
        <v>14</v>
      </c>
      <c r="F5" s="14"/>
      <c r="G5" s="14"/>
      <c r="H5" s="14"/>
      <c r="I5" s="14"/>
      <c r="J5" s="14"/>
      <c r="K5" s="15"/>
      <c r="L5" s="16"/>
      <c r="M5" s="4"/>
      <c r="N5" s="83"/>
      <c r="O5" s="83"/>
      <c r="P5" s="83"/>
      <c r="Q5" s="83"/>
      <c r="R5" s="1"/>
    </row>
    <row r="6" spans="1:18" ht="30" customHeight="1" x14ac:dyDescent="0.2">
      <c r="A6" s="1"/>
      <c r="B6" s="11"/>
      <c r="C6" s="17"/>
      <c r="D6" s="18"/>
      <c r="E6" s="19"/>
      <c r="F6" s="19"/>
      <c r="G6" s="19"/>
      <c r="H6" s="19"/>
      <c r="I6" s="19"/>
      <c r="J6" s="20"/>
      <c r="K6" s="20"/>
      <c r="L6" s="19"/>
      <c r="M6" s="4"/>
      <c r="N6" s="83"/>
      <c r="O6" s="83"/>
      <c r="P6" s="83"/>
      <c r="Q6" s="83"/>
      <c r="R6" s="1"/>
    </row>
    <row r="7" spans="1:18" ht="30" customHeight="1" x14ac:dyDescent="0.2">
      <c r="A7" s="1"/>
      <c r="B7" s="11"/>
      <c r="C7" s="13" t="s">
        <v>11</v>
      </c>
      <c r="D7" s="13"/>
      <c r="E7" s="14" t="s">
        <v>12</v>
      </c>
      <c r="F7" s="14"/>
      <c r="G7" s="14"/>
      <c r="H7" s="14"/>
      <c r="I7" s="14"/>
      <c r="J7" s="14"/>
      <c r="K7" s="15"/>
      <c r="L7" s="19"/>
      <c r="M7" s="1"/>
      <c r="N7" s="11"/>
      <c r="O7" s="11"/>
      <c r="P7" s="11"/>
      <c r="Q7" s="11"/>
      <c r="R7" s="1"/>
    </row>
    <row r="8" spans="1:18" ht="30" customHeight="1" x14ac:dyDescent="0.2">
      <c r="A8" s="1"/>
      <c r="B8" s="11"/>
      <c r="C8" s="17"/>
      <c r="D8" s="18"/>
      <c r="E8" s="19"/>
      <c r="F8" s="19"/>
      <c r="G8" s="19"/>
      <c r="H8" s="19"/>
      <c r="I8" s="19"/>
      <c r="J8" s="20"/>
      <c r="K8" s="20"/>
      <c r="L8" s="19"/>
      <c r="M8" s="4"/>
      <c r="N8" s="21"/>
      <c r="O8" s="22" t="s">
        <v>1</v>
      </c>
      <c r="P8" s="23">
        <f ca="1">IF(MONTH(TODAY())=12,YEAR(TODAY())+1,YEAR(TODAY()))</f>
        <v>2026</v>
      </c>
      <c r="R8" s="1"/>
    </row>
    <row r="9" spans="1:18" ht="30" customHeight="1" x14ac:dyDescent="0.2">
      <c r="A9" s="1"/>
      <c r="B9" s="11"/>
      <c r="C9" s="13" t="s">
        <v>5</v>
      </c>
      <c r="D9" s="13"/>
      <c r="E9" s="14" t="s">
        <v>6</v>
      </c>
      <c r="F9" s="14"/>
      <c r="G9" s="14"/>
      <c r="H9" s="14"/>
      <c r="I9" s="14"/>
      <c r="J9" s="14"/>
      <c r="K9" s="15"/>
      <c r="L9" s="19"/>
      <c r="M9" s="4"/>
      <c r="N9" s="11"/>
      <c r="O9" s="11"/>
      <c r="P9" s="11"/>
      <c r="Q9" s="11"/>
      <c r="R9" s="1"/>
    </row>
    <row r="10" spans="1:18" ht="30" customHeight="1" x14ac:dyDescent="0.2">
      <c r="A10" s="1"/>
      <c r="B10" s="11"/>
      <c r="C10" s="24"/>
      <c r="D10" s="25"/>
      <c r="E10" s="14" t="s">
        <v>13</v>
      </c>
      <c r="F10" s="14"/>
      <c r="G10" s="14"/>
      <c r="H10" s="14"/>
      <c r="I10" s="14"/>
      <c r="J10" s="14"/>
      <c r="K10" s="15"/>
      <c r="L10" s="19"/>
      <c r="M10" s="4"/>
      <c r="N10" s="11"/>
      <c r="O10" s="22" t="s">
        <v>2</v>
      </c>
      <c r="P10" s="23">
        <v>1</v>
      </c>
      <c r="Q10" s="18"/>
      <c r="R10" s="1"/>
    </row>
    <row r="11" spans="1:18" ht="30" customHeight="1" x14ac:dyDescent="0.2">
      <c r="A11" s="1"/>
      <c r="B11" s="11"/>
      <c r="C11" s="24"/>
      <c r="D11" s="25"/>
      <c r="E11" s="26"/>
      <c r="F11" s="26"/>
      <c r="G11" s="26"/>
      <c r="H11" s="26"/>
      <c r="I11" s="26"/>
      <c r="J11" s="20"/>
      <c r="K11" s="20"/>
      <c r="L11" s="19"/>
      <c r="M11" s="4"/>
      <c r="N11" s="18"/>
      <c r="O11" s="18"/>
      <c r="P11" s="18"/>
      <c r="Q11" s="18"/>
      <c r="R11" s="1"/>
    </row>
    <row r="12" spans="1:18" ht="30" customHeight="1" x14ac:dyDescent="0.2">
      <c r="A12" s="1"/>
      <c r="B12" s="11"/>
      <c r="C12" s="13" t="s">
        <v>7</v>
      </c>
      <c r="D12" s="13"/>
      <c r="E12" s="14" t="s">
        <v>8</v>
      </c>
      <c r="F12" s="14"/>
      <c r="G12" s="14"/>
      <c r="H12" s="14"/>
      <c r="I12" s="14"/>
      <c r="J12" s="14"/>
      <c r="K12" s="15"/>
      <c r="L12" s="19"/>
      <c r="M12" s="4"/>
      <c r="N12" s="18"/>
      <c r="O12" s="18"/>
      <c r="P12" s="18"/>
      <c r="Q12" s="18"/>
      <c r="R12" s="1"/>
    </row>
    <row r="13" spans="1:18" ht="30" customHeight="1" x14ac:dyDescent="0.2">
      <c r="A13" s="1"/>
      <c r="B13" s="11"/>
      <c r="C13" s="25"/>
      <c r="D13" s="25"/>
      <c r="E13" s="14" t="s">
        <v>9</v>
      </c>
      <c r="F13" s="14"/>
      <c r="G13" s="14"/>
      <c r="H13" s="14"/>
      <c r="I13" s="14"/>
      <c r="J13" s="14"/>
      <c r="K13" s="15"/>
      <c r="L13" s="19"/>
      <c r="M13" s="4"/>
      <c r="N13" s="18"/>
      <c r="O13" s="18"/>
      <c r="P13" s="18"/>
      <c r="Q13" s="18"/>
      <c r="R13" s="1"/>
    </row>
    <row r="14" spans="1:18" ht="30" customHeight="1" x14ac:dyDescent="0.2">
      <c r="A14" s="1"/>
      <c r="B14" s="11"/>
      <c r="C14" s="18"/>
      <c r="D14" s="18"/>
      <c r="E14" s="18"/>
      <c r="F14" s="18"/>
      <c r="G14" s="18"/>
      <c r="H14" s="18"/>
      <c r="I14" s="18"/>
      <c r="J14" s="27"/>
      <c r="K14" s="27"/>
      <c r="L14" s="18"/>
      <c r="M14" s="4"/>
      <c r="N14" s="18"/>
      <c r="O14" s="18"/>
      <c r="P14" s="18"/>
      <c r="Q14" s="18"/>
      <c r="R14" s="1"/>
    </row>
    <row r="15" spans="1:18" ht="24.9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  <c r="Q15" s="1"/>
      <c r="R15" s="1"/>
    </row>
  </sheetData>
  <mergeCells count="1">
    <mergeCell ref="N4:Q6"/>
  </mergeCells>
  <pageMargins left="0.7" right="0.7" top="0.75" bottom="0.75" header="0.3" footer="0.3"/>
  <pageSetup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6B02-2D02-4997-9D99-0C85E11CBE0D}">
  <sheetPr>
    <pageSetUpPr fitToPage="1"/>
  </sheetPr>
  <dimension ref="A1:AP40"/>
  <sheetViews>
    <sheetView showGridLines="0" topLeftCell="A7" zoomScaleNormal="100" workbookViewId="0">
      <selection activeCell="I18" sqref="I18:J18"/>
    </sheetView>
  </sheetViews>
  <sheetFormatPr defaultColWidth="8.7109375" defaultRowHeight="12.75" x14ac:dyDescent="0.2"/>
  <cols>
    <col min="1" max="3" width="5.5703125" style="3" customWidth="1"/>
    <col min="4" max="4" width="15.5703125" style="3" customWidth="1"/>
    <col min="5" max="5" width="5.5703125" style="3" customWidth="1"/>
    <col min="6" max="6" width="15.5703125" style="3" customWidth="1"/>
    <col min="7" max="7" width="5.5703125" style="3" customWidth="1"/>
    <col min="8" max="8" width="15.5703125" style="3" customWidth="1"/>
    <col min="9" max="9" width="5.5703125" style="3" customWidth="1"/>
    <col min="10" max="10" width="15.5703125" style="3" customWidth="1"/>
    <col min="11" max="14" width="5.5703125" style="3" customWidth="1"/>
    <col min="15" max="30" width="2.5703125" style="3" customWidth="1"/>
    <col min="31" max="32" width="5.5703125" style="3" customWidth="1"/>
    <col min="33" max="33" width="17.140625" style="3" customWidth="1"/>
    <col min="34" max="34" width="10.42578125" style="3" customWidth="1"/>
    <col min="35" max="16384" width="8.7109375" style="3"/>
  </cols>
  <sheetData>
    <row r="1" spans="1:36" ht="24.9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s="30" customFormat="1" ht="90" customHeight="1" x14ac:dyDescent="0.8">
      <c r="A2" s="29"/>
      <c r="C2" s="117">
        <f ca="1">DATE(About!P8,9,1)</f>
        <v>46266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F2" s="29"/>
    </row>
    <row r="3" spans="1:36" s="32" customFormat="1" ht="24.95" customHeight="1" x14ac:dyDescent="0.8">
      <c r="A3" s="31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4"/>
      <c r="V3" s="30"/>
      <c r="AF3" s="29"/>
      <c r="AG3" s="30"/>
      <c r="AH3" s="30"/>
      <c r="AI3" s="30"/>
    </row>
    <row r="4" spans="1:36" s="36" customFormat="1" ht="30" customHeight="1" x14ac:dyDescent="0.25">
      <c r="A4" s="35"/>
      <c r="C4" s="118">
        <f ca="1">C5</f>
        <v>46264</v>
      </c>
      <c r="D4" s="118"/>
      <c r="E4" s="118">
        <f ca="1">E5</f>
        <v>46265</v>
      </c>
      <c r="F4" s="118"/>
      <c r="G4" s="118">
        <f ca="1">G5</f>
        <v>46266</v>
      </c>
      <c r="H4" s="118"/>
      <c r="I4" s="118">
        <f ca="1">I5</f>
        <v>46267</v>
      </c>
      <c r="J4" s="118"/>
      <c r="K4" s="118">
        <f ca="1">K5</f>
        <v>46268</v>
      </c>
      <c r="L4" s="118"/>
      <c r="M4" s="118"/>
      <c r="N4" s="37"/>
      <c r="O4" s="118">
        <f ca="1">O5</f>
        <v>46269</v>
      </c>
      <c r="P4" s="118"/>
      <c r="Q4" s="118"/>
      <c r="R4" s="118"/>
      <c r="S4" s="118"/>
      <c r="T4" s="118"/>
      <c r="U4" s="118"/>
      <c r="V4" s="118"/>
      <c r="W4" s="118">
        <f ca="1">W5</f>
        <v>46270</v>
      </c>
      <c r="X4" s="118"/>
      <c r="Y4" s="118"/>
      <c r="Z4" s="118"/>
      <c r="AA4" s="118"/>
      <c r="AB4" s="118"/>
      <c r="AC4" s="118"/>
      <c r="AD4" s="118"/>
      <c r="AF4" s="38"/>
      <c r="AG4" s="39"/>
      <c r="AH4" s="39"/>
      <c r="AI4" s="39"/>
      <c r="AJ4" s="39"/>
    </row>
    <row r="5" spans="1:36" ht="24.95" customHeight="1" x14ac:dyDescent="0.2">
      <c r="A5" s="1"/>
      <c r="C5" s="119">
        <f ca="1">$C$2-(WEEKDAY($C$2,1)-(start_day-1))-IF((WEEKDAY($C$2,1)-(start_day-1))&lt;=0,7,0)+1</f>
        <v>46264</v>
      </c>
      <c r="D5" s="121"/>
      <c r="E5" s="119">
        <f ca="1">C5+1</f>
        <v>46265</v>
      </c>
      <c r="F5" s="121"/>
      <c r="G5" s="119">
        <f ca="1">E5+1</f>
        <v>46266</v>
      </c>
      <c r="H5" s="121"/>
      <c r="I5" s="119">
        <f ca="1">G5+1</f>
        <v>46267</v>
      </c>
      <c r="J5" s="121"/>
      <c r="K5" s="119">
        <f ca="1">I5+1</f>
        <v>46268</v>
      </c>
      <c r="L5" s="120"/>
      <c r="M5" s="120"/>
      <c r="N5" s="74"/>
      <c r="O5" s="119">
        <f ca="1">K5+1</f>
        <v>46269</v>
      </c>
      <c r="P5" s="120"/>
      <c r="Q5" s="120"/>
      <c r="R5" s="120"/>
      <c r="S5" s="120"/>
      <c r="T5" s="120"/>
      <c r="U5" s="120"/>
      <c r="V5" s="121"/>
      <c r="W5" s="119">
        <f ca="1">O5+1</f>
        <v>46270</v>
      </c>
      <c r="X5" s="120"/>
      <c r="Y5" s="120"/>
      <c r="Z5" s="120"/>
      <c r="AA5" s="120"/>
      <c r="AB5" s="120"/>
      <c r="AC5" s="120"/>
      <c r="AD5" s="121"/>
      <c r="AF5" s="40"/>
      <c r="AG5" s="41"/>
      <c r="AH5" s="41"/>
      <c r="AI5" s="41"/>
      <c r="AJ5" s="41"/>
    </row>
    <row r="6" spans="1:36" s="43" customFormat="1" ht="75" customHeight="1" x14ac:dyDescent="0.2">
      <c r="A6" s="42"/>
      <c r="C6" s="122"/>
      <c r="D6" s="123"/>
      <c r="E6" s="122"/>
      <c r="F6" s="123"/>
      <c r="G6" s="124"/>
      <c r="H6" s="125"/>
      <c r="I6" s="124"/>
      <c r="J6" s="125"/>
      <c r="K6" s="124"/>
      <c r="L6" s="126"/>
      <c r="M6" s="126"/>
      <c r="N6" s="125"/>
      <c r="O6" s="124"/>
      <c r="P6" s="126"/>
      <c r="Q6" s="126"/>
      <c r="R6" s="126"/>
      <c r="S6" s="126"/>
      <c r="T6" s="126"/>
      <c r="U6" s="126"/>
      <c r="V6" s="125"/>
      <c r="W6" s="124"/>
      <c r="X6" s="126"/>
      <c r="Y6" s="126"/>
      <c r="Z6" s="126"/>
      <c r="AA6" s="126"/>
      <c r="AB6" s="126"/>
      <c r="AC6" s="126"/>
      <c r="AD6" s="125"/>
      <c r="AE6" s="7"/>
      <c r="AF6" s="42"/>
    </row>
    <row r="7" spans="1:36" ht="9.9499999999999993" customHeight="1" x14ac:dyDescent="0.2">
      <c r="A7" s="1"/>
      <c r="C7" s="119">
        <f ca="1">W5+1</f>
        <v>46271</v>
      </c>
      <c r="D7" s="121"/>
      <c r="E7" s="127"/>
      <c r="F7" s="128"/>
      <c r="G7" s="127"/>
      <c r="H7" s="128"/>
      <c r="I7" s="127"/>
      <c r="J7" s="128"/>
      <c r="K7" s="127"/>
      <c r="L7" s="129"/>
      <c r="M7" s="129"/>
      <c r="N7" s="75"/>
      <c r="O7" s="127"/>
      <c r="P7" s="129"/>
      <c r="Q7" s="129"/>
      <c r="R7" s="129"/>
      <c r="S7" s="129"/>
      <c r="T7" s="129"/>
      <c r="U7" s="129"/>
      <c r="V7" s="128"/>
      <c r="W7" s="127"/>
      <c r="X7" s="129"/>
      <c r="Y7" s="129"/>
      <c r="Z7" s="129"/>
      <c r="AA7" s="129"/>
      <c r="AB7" s="129"/>
      <c r="AC7" s="129"/>
      <c r="AD7" s="128"/>
      <c r="AF7" s="1"/>
    </row>
    <row r="8" spans="1:36" s="7" customFormat="1" ht="15" customHeight="1" x14ac:dyDescent="0.2">
      <c r="A8" s="4"/>
      <c r="C8" s="119"/>
      <c r="D8" s="121"/>
      <c r="E8" s="112">
        <f ca="1">C7+1</f>
        <v>46272</v>
      </c>
      <c r="F8" s="113"/>
      <c r="G8" s="112">
        <f ca="1">E8+1</f>
        <v>46273</v>
      </c>
      <c r="H8" s="113"/>
      <c r="I8" s="112">
        <f ca="1">G8+1</f>
        <v>46274</v>
      </c>
      <c r="J8" s="113"/>
      <c r="K8" s="112">
        <f ca="1">I8+1</f>
        <v>46275</v>
      </c>
      <c r="L8" s="114"/>
      <c r="M8" s="114"/>
      <c r="N8" s="50"/>
      <c r="O8" s="112">
        <f ca="1">K8+1</f>
        <v>46276</v>
      </c>
      <c r="P8" s="114"/>
      <c r="Q8" s="114"/>
      <c r="R8" s="114"/>
      <c r="S8" s="114"/>
      <c r="T8" s="114"/>
      <c r="U8" s="114"/>
      <c r="V8" s="113"/>
      <c r="W8" s="112">
        <f ca="1">O8+1</f>
        <v>46277</v>
      </c>
      <c r="X8" s="114"/>
      <c r="Y8" s="114"/>
      <c r="Z8" s="114"/>
      <c r="AA8" s="114"/>
      <c r="AB8" s="114"/>
      <c r="AC8" s="114"/>
      <c r="AD8" s="113"/>
      <c r="AF8" s="4"/>
    </row>
    <row r="9" spans="1:36" s="43" customFormat="1" ht="75" customHeight="1" x14ac:dyDescent="0.2">
      <c r="A9" s="42"/>
      <c r="C9" s="124"/>
      <c r="D9" s="125"/>
      <c r="E9" s="124"/>
      <c r="F9" s="125"/>
      <c r="G9" s="124"/>
      <c r="H9" s="125"/>
      <c r="I9" s="124"/>
      <c r="J9" s="125"/>
      <c r="K9" s="124"/>
      <c r="L9" s="126"/>
      <c r="M9" s="126"/>
      <c r="N9" s="125"/>
      <c r="O9" s="130" t="s">
        <v>40</v>
      </c>
      <c r="P9" s="131"/>
      <c r="Q9" s="131"/>
      <c r="R9" s="131"/>
      <c r="S9" s="131"/>
      <c r="T9" s="131"/>
      <c r="U9" s="131"/>
      <c r="V9" s="132"/>
      <c r="W9" s="124"/>
      <c r="X9" s="126"/>
      <c r="Y9" s="126"/>
      <c r="Z9" s="126"/>
      <c r="AA9" s="126"/>
      <c r="AB9" s="126"/>
      <c r="AC9" s="126"/>
      <c r="AD9" s="125"/>
      <c r="AE9" s="7"/>
      <c r="AF9" s="42"/>
    </row>
    <row r="10" spans="1:36" s="43" customFormat="1" ht="9.9499999999999993" customHeight="1" x14ac:dyDescent="0.2">
      <c r="A10" s="42"/>
      <c r="C10" s="119">
        <f ca="1">W8+1</f>
        <v>46278</v>
      </c>
      <c r="D10" s="121"/>
      <c r="E10" s="45"/>
      <c r="F10" s="75"/>
      <c r="G10" s="45"/>
      <c r="H10" s="75"/>
      <c r="I10" s="45"/>
      <c r="J10" s="75"/>
      <c r="K10" s="45"/>
      <c r="L10" s="76"/>
      <c r="M10" s="76"/>
      <c r="N10" s="75"/>
      <c r="O10" s="45"/>
      <c r="P10" s="76"/>
      <c r="Q10" s="76"/>
      <c r="R10" s="76"/>
      <c r="S10" s="76"/>
      <c r="T10" s="76"/>
      <c r="U10" s="76"/>
      <c r="V10" s="75"/>
      <c r="W10" s="45"/>
      <c r="X10" s="76"/>
      <c r="Y10" s="76"/>
      <c r="Z10" s="76"/>
      <c r="AA10" s="76"/>
      <c r="AB10" s="76"/>
      <c r="AC10" s="76"/>
      <c r="AD10" s="75"/>
      <c r="AE10" s="7"/>
      <c r="AF10" s="42"/>
    </row>
    <row r="11" spans="1:36" s="7" customFormat="1" ht="15" customHeight="1" x14ac:dyDescent="0.2">
      <c r="A11" s="4"/>
      <c r="C11" s="119"/>
      <c r="D11" s="121"/>
      <c r="E11" s="112">
        <f ca="1">C10+1</f>
        <v>46279</v>
      </c>
      <c r="F11" s="113"/>
      <c r="G11" s="112">
        <f ca="1">E11+1</f>
        <v>46280</v>
      </c>
      <c r="H11" s="113"/>
      <c r="I11" s="112">
        <f ca="1">G11+1</f>
        <v>46281</v>
      </c>
      <c r="J11" s="113"/>
      <c r="K11" s="112">
        <f ca="1">I11+1</f>
        <v>46282</v>
      </c>
      <c r="L11" s="114"/>
      <c r="M11" s="114"/>
      <c r="N11" s="50"/>
      <c r="O11" s="112">
        <f ca="1">K11+1</f>
        <v>46283</v>
      </c>
      <c r="P11" s="114"/>
      <c r="Q11" s="114"/>
      <c r="R11" s="114"/>
      <c r="S11" s="114"/>
      <c r="T11" s="114"/>
      <c r="U11" s="114"/>
      <c r="V11" s="113"/>
      <c r="W11" s="112">
        <f ca="1">O11+1</f>
        <v>46284</v>
      </c>
      <c r="X11" s="114"/>
      <c r="Y11" s="114"/>
      <c r="Z11" s="114"/>
      <c r="AA11" s="114"/>
      <c r="AB11" s="114"/>
      <c r="AC11" s="114"/>
      <c r="AD11" s="113"/>
      <c r="AF11" s="4"/>
      <c r="AJ11" s="3"/>
    </row>
    <row r="12" spans="1:36" s="43" customFormat="1" ht="75" customHeight="1" x14ac:dyDescent="0.2">
      <c r="A12" s="42"/>
      <c r="C12" s="124"/>
      <c r="D12" s="125"/>
      <c r="E12" s="130" t="s">
        <v>41</v>
      </c>
      <c r="F12" s="132"/>
      <c r="G12" s="124"/>
      <c r="H12" s="125"/>
      <c r="I12" s="124"/>
      <c r="J12" s="125"/>
      <c r="K12" s="124"/>
      <c r="L12" s="126"/>
      <c r="M12" s="126"/>
      <c r="N12" s="125"/>
      <c r="O12" s="124"/>
      <c r="P12" s="126"/>
      <c r="Q12" s="126"/>
      <c r="R12" s="126"/>
      <c r="S12" s="126"/>
      <c r="T12" s="126"/>
      <c r="U12" s="126"/>
      <c r="V12" s="125"/>
      <c r="W12" s="124"/>
      <c r="X12" s="126"/>
      <c r="Y12" s="126"/>
      <c r="Z12" s="126"/>
      <c r="AA12" s="126"/>
      <c r="AB12" s="126"/>
      <c r="AC12" s="126"/>
      <c r="AD12" s="125"/>
      <c r="AE12" s="7"/>
      <c r="AF12" s="42"/>
    </row>
    <row r="13" spans="1:36" s="43" customFormat="1" ht="9.9499999999999993" customHeight="1" x14ac:dyDescent="0.2">
      <c r="A13" s="42"/>
      <c r="C13" s="119">
        <f ca="1">W11+1</f>
        <v>46285</v>
      </c>
      <c r="D13" s="121"/>
      <c r="E13" s="45"/>
      <c r="F13" s="75"/>
      <c r="G13" s="45"/>
      <c r="H13" s="75"/>
      <c r="I13" s="45"/>
      <c r="J13" s="75"/>
      <c r="K13" s="45"/>
      <c r="L13" s="76"/>
      <c r="M13" s="76"/>
      <c r="N13" s="75"/>
      <c r="O13" s="45"/>
      <c r="P13" s="76"/>
      <c r="Q13" s="76"/>
      <c r="R13" s="76"/>
      <c r="S13" s="76"/>
      <c r="T13" s="76"/>
      <c r="U13" s="76"/>
      <c r="V13" s="75"/>
      <c r="W13" s="45"/>
      <c r="X13" s="76"/>
      <c r="Y13" s="76"/>
      <c r="Z13" s="76"/>
      <c r="AA13" s="76"/>
      <c r="AB13" s="76"/>
      <c r="AC13" s="76"/>
      <c r="AD13" s="75"/>
      <c r="AE13" s="7"/>
      <c r="AF13" s="42"/>
    </row>
    <row r="14" spans="1:36" s="7" customFormat="1" ht="15" customHeight="1" x14ac:dyDescent="0.2">
      <c r="A14" s="4"/>
      <c r="C14" s="119"/>
      <c r="D14" s="121"/>
      <c r="E14" s="112">
        <f ca="1">C13+1</f>
        <v>46286</v>
      </c>
      <c r="F14" s="113"/>
      <c r="G14" s="112">
        <f ca="1">E14+1</f>
        <v>46287</v>
      </c>
      <c r="H14" s="113"/>
      <c r="I14" s="112">
        <f ca="1">G14+1</f>
        <v>46288</v>
      </c>
      <c r="J14" s="113"/>
      <c r="K14" s="112">
        <f ca="1">I14+1</f>
        <v>46289</v>
      </c>
      <c r="L14" s="114"/>
      <c r="M14" s="114"/>
      <c r="N14" s="50"/>
      <c r="O14" s="112">
        <f ca="1">K14+1</f>
        <v>46290</v>
      </c>
      <c r="P14" s="114"/>
      <c r="Q14" s="114"/>
      <c r="R14" s="114"/>
      <c r="S14" s="114"/>
      <c r="T14" s="114"/>
      <c r="U14" s="114"/>
      <c r="V14" s="113"/>
      <c r="W14" s="112">
        <f ca="1">O14+1</f>
        <v>46291</v>
      </c>
      <c r="X14" s="114"/>
      <c r="Y14" s="114"/>
      <c r="Z14" s="114"/>
      <c r="AA14" s="114"/>
      <c r="AB14" s="114"/>
      <c r="AC14" s="114"/>
      <c r="AD14" s="113"/>
      <c r="AF14" s="4"/>
    </row>
    <row r="15" spans="1:36" s="43" customFormat="1" ht="162.94999999999999" customHeight="1" x14ac:dyDescent="0.2">
      <c r="A15" s="42"/>
      <c r="C15" s="124"/>
      <c r="D15" s="125"/>
      <c r="E15" s="124"/>
      <c r="F15" s="125"/>
      <c r="G15" s="124"/>
      <c r="H15" s="125"/>
      <c r="I15" s="133"/>
      <c r="J15" s="135"/>
      <c r="K15" s="133"/>
      <c r="L15" s="134"/>
      <c r="M15" s="134"/>
      <c r="N15" s="135"/>
      <c r="O15" s="133"/>
      <c r="P15" s="134"/>
      <c r="Q15" s="134"/>
      <c r="R15" s="134"/>
      <c r="S15" s="134"/>
      <c r="T15" s="134"/>
      <c r="U15" s="134"/>
      <c r="V15" s="135"/>
      <c r="W15" s="133"/>
      <c r="X15" s="134"/>
      <c r="Y15" s="134"/>
      <c r="Z15" s="134"/>
      <c r="AA15" s="134"/>
      <c r="AB15" s="134"/>
      <c r="AC15" s="134"/>
      <c r="AD15" s="135"/>
      <c r="AE15" s="7"/>
      <c r="AF15" s="42"/>
    </row>
    <row r="16" spans="1:36" s="43" customFormat="1" ht="9.9499999999999993" customHeight="1" x14ac:dyDescent="0.2">
      <c r="A16" s="42"/>
      <c r="C16" s="119">
        <f ca="1">W14+1</f>
        <v>46292</v>
      </c>
      <c r="D16" s="121"/>
      <c r="E16" s="45"/>
      <c r="F16" s="75"/>
      <c r="G16" s="45"/>
      <c r="H16" s="75"/>
      <c r="I16" s="136"/>
      <c r="J16" s="137"/>
      <c r="K16" s="66"/>
      <c r="L16" s="68"/>
      <c r="M16" s="68"/>
      <c r="N16" s="67"/>
      <c r="O16" s="136"/>
      <c r="P16" s="138"/>
      <c r="Q16" s="138"/>
      <c r="R16" s="138"/>
      <c r="S16" s="138"/>
      <c r="T16" s="138"/>
      <c r="U16" s="138"/>
      <c r="V16" s="137"/>
      <c r="W16" s="45"/>
      <c r="X16" s="76"/>
      <c r="Y16" s="76"/>
      <c r="Z16" s="76"/>
      <c r="AA16" s="76"/>
      <c r="AB16" s="76"/>
      <c r="AC16" s="76"/>
      <c r="AD16" s="75"/>
      <c r="AE16" s="7"/>
      <c r="AF16" s="42"/>
    </row>
    <row r="17" spans="1:42" s="7" customFormat="1" ht="15" customHeight="1" x14ac:dyDescent="0.2">
      <c r="A17" s="4"/>
      <c r="C17" s="119"/>
      <c r="D17" s="121"/>
      <c r="E17" s="112">
        <f ca="1">C16+1</f>
        <v>46293</v>
      </c>
      <c r="F17" s="113"/>
      <c r="G17" s="112">
        <f ca="1">E17+1</f>
        <v>46294</v>
      </c>
      <c r="H17" s="113"/>
      <c r="I17" s="112">
        <f ca="1">G17+1</f>
        <v>46295</v>
      </c>
      <c r="J17" s="113"/>
      <c r="K17" s="46">
        <f ca="1">I17+1</f>
        <v>46296</v>
      </c>
      <c r="L17" s="51"/>
      <c r="M17" s="51"/>
      <c r="N17" s="69"/>
      <c r="O17" s="112">
        <f ca="1">K17+1</f>
        <v>46297</v>
      </c>
      <c r="P17" s="114"/>
      <c r="Q17" s="114"/>
      <c r="R17" s="114"/>
      <c r="S17" s="114"/>
      <c r="T17" s="114"/>
      <c r="U17" s="114"/>
      <c r="V17" s="113"/>
      <c r="W17" s="112">
        <f ca="1">O17+1</f>
        <v>46298</v>
      </c>
      <c r="X17" s="114"/>
      <c r="Y17" s="114"/>
      <c r="Z17" s="114"/>
      <c r="AA17" s="114"/>
      <c r="AB17" s="114"/>
      <c r="AC17" s="114"/>
      <c r="AD17" s="113"/>
      <c r="AF17" s="4"/>
    </row>
    <row r="18" spans="1:42" s="43" customFormat="1" ht="147.4" customHeight="1" x14ac:dyDescent="0.2">
      <c r="A18" s="42"/>
      <c r="C18" s="142" t="s">
        <v>18</v>
      </c>
      <c r="D18" s="143"/>
      <c r="E18" s="133"/>
      <c r="F18" s="135"/>
      <c r="G18" s="133"/>
      <c r="H18" s="135"/>
      <c r="I18" s="142" t="s">
        <v>17</v>
      </c>
      <c r="J18" s="143"/>
      <c r="K18" s="70"/>
      <c r="L18" s="71"/>
      <c r="M18" s="71"/>
      <c r="N18" s="72"/>
      <c r="O18" s="122"/>
      <c r="P18" s="139"/>
      <c r="Q18" s="139"/>
      <c r="R18" s="139"/>
      <c r="S18" s="139"/>
      <c r="T18" s="139"/>
      <c r="U18" s="139"/>
      <c r="V18" s="123"/>
      <c r="W18" s="122"/>
      <c r="X18" s="139"/>
      <c r="Y18" s="139"/>
      <c r="Z18" s="139"/>
      <c r="AA18" s="139"/>
      <c r="AB18" s="139"/>
      <c r="AC18" s="139"/>
      <c r="AD18" s="123"/>
      <c r="AE18" s="7"/>
      <c r="AF18" s="42"/>
      <c r="AP18" s="3"/>
    </row>
    <row r="19" spans="1:42" s="43" customFormat="1" ht="9.9499999999999993" customHeight="1" x14ac:dyDescent="0.2">
      <c r="A19" s="42"/>
      <c r="C19" s="119">
        <f ca="1">W17+1</f>
        <v>46299</v>
      </c>
      <c r="D19" s="121"/>
      <c r="E19" s="45"/>
      <c r="F19" s="75"/>
      <c r="G19" s="45"/>
      <c r="H19" s="75"/>
      <c r="I19" s="136"/>
      <c r="J19" s="137"/>
      <c r="K19" s="66"/>
      <c r="L19" s="68"/>
      <c r="M19" s="68"/>
      <c r="N19" s="67"/>
      <c r="O19" s="136"/>
      <c r="P19" s="138"/>
      <c r="Q19" s="138"/>
      <c r="R19" s="138"/>
      <c r="S19" s="138"/>
      <c r="T19" s="138"/>
      <c r="U19" s="138"/>
      <c r="V19" s="137"/>
      <c r="W19" s="45"/>
      <c r="X19" s="76"/>
      <c r="Y19" s="76"/>
      <c r="Z19" s="76"/>
      <c r="AA19" s="76"/>
      <c r="AB19" s="76"/>
      <c r="AC19" s="76"/>
      <c r="AD19" s="75"/>
      <c r="AE19" s="7"/>
      <c r="AF19" s="42"/>
    </row>
    <row r="20" spans="1:42" s="7" customFormat="1" ht="15" customHeight="1" x14ac:dyDescent="0.2">
      <c r="A20" s="4"/>
      <c r="C20" s="119"/>
      <c r="D20" s="121"/>
      <c r="E20" s="112">
        <f ca="1">C19+1</f>
        <v>46300</v>
      </c>
      <c r="F20" s="113"/>
      <c r="G20" s="112">
        <f ca="1">E20+1</f>
        <v>46301</v>
      </c>
      <c r="H20" s="113"/>
      <c r="I20" s="112">
        <f ca="1">G20+1</f>
        <v>46302</v>
      </c>
      <c r="J20" s="113"/>
      <c r="K20" s="46">
        <f ca="1">I20+1</f>
        <v>46303</v>
      </c>
      <c r="L20" s="51"/>
      <c r="M20" s="51"/>
      <c r="N20" s="69"/>
      <c r="O20" s="112">
        <f ca="1">K20+1</f>
        <v>46304</v>
      </c>
      <c r="P20" s="114"/>
      <c r="Q20" s="114"/>
      <c r="R20" s="114"/>
      <c r="S20" s="114"/>
      <c r="T20" s="114"/>
      <c r="U20" s="114"/>
      <c r="V20" s="113"/>
      <c r="W20" s="112">
        <f ca="1">O20+1</f>
        <v>46305</v>
      </c>
      <c r="X20" s="114"/>
      <c r="Y20" s="114"/>
      <c r="Z20" s="114"/>
      <c r="AA20" s="114"/>
      <c r="AB20" s="114"/>
      <c r="AC20" s="114"/>
      <c r="AD20" s="113"/>
      <c r="AF20" s="4"/>
    </row>
    <row r="21" spans="1:42" s="43" customFormat="1" ht="166.9" customHeight="1" x14ac:dyDescent="0.2">
      <c r="A21" s="42"/>
      <c r="C21" s="122"/>
      <c r="D21" s="123"/>
      <c r="E21" s="122"/>
      <c r="F21" s="123"/>
      <c r="G21" s="122"/>
      <c r="H21" s="123"/>
      <c r="I21" s="122"/>
      <c r="J21" s="123"/>
      <c r="K21" s="70"/>
      <c r="L21" s="71"/>
      <c r="M21" s="71"/>
      <c r="N21" s="72"/>
      <c r="O21" s="122"/>
      <c r="P21" s="139"/>
      <c r="Q21" s="139"/>
      <c r="R21" s="139"/>
      <c r="S21" s="139"/>
      <c r="T21" s="139"/>
      <c r="U21" s="139"/>
      <c r="V21" s="123"/>
      <c r="W21" s="122"/>
      <c r="X21" s="139"/>
      <c r="Y21" s="139"/>
      <c r="Z21" s="139"/>
      <c r="AA21" s="139"/>
      <c r="AB21" s="139"/>
      <c r="AC21" s="139"/>
      <c r="AD21" s="123"/>
      <c r="AE21" s="7"/>
      <c r="AF21" s="42"/>
      <c r="AP21" s="3"/>
    </row>
    <row r="22" spans="1:42" s="7" customFormat="1" ht="24.95" customHeight="1" x14ac:dyDescent="0.2">
      <c r="A22" s="4"/>
      <c r="C22" s="52"/>
      <c r="D22" s="52"/>
      <c r="E22" s="52"/>
      <c r="F22" s="52"/>
      <c r="G22" s="53"/>
      <c r="H22" s="54"/>
      <c r="I22" s="54"/>
      <c r="J22" s="54"/>
      <c r="K22" s="54"/>
      <c r="L22" s="54"/>
      <c r="M22" s="54"/>
      <c r="N22" s="54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F22" s="4"/>
    </row>
    <row r="23" spans="1:42" s="7" customFormat="1" ht="24.95" customHeight="1" x14ac:dyDescent="0.2">
      <c r="A23" s="4"/>
      <c r="B23" s="4"/>
      <c r="C23" s="56"/>
      <c r="D23" s="56"/>
      <c r="E23" s="56"/>
      <c r="F23" s="56"/>
      <c r="G23" s="57"/>
      <c r="H23" s="58"/>
      <c r="I23" s="58"/>
      <c r="J23" s="58"/>
      <c r="K23" s="58"/>
      <c r="L23" s="58"/>
      <c r="M23" s="58"/>
      <c r="N23" s="58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4"/>
      <c r="AF23" s="4"/>
    </row>
    <row r="24" spans="1:42" ht="24.95" customHeight="1" x14ac:dyDescent="0.2">
      <c r="A24" s="1"/>
      <c r="M24" s="1"/>
      <c r="AF24" s="1"/>
    </row>
    <row r="25" spans="1:42" ht="20.100000000000001" customHeight="1" x14ac:dyDescent="0.2">
      <c r="A25" s="1"/>
      <c r="C25" s="140" t="s">
        <v>0</v>
      </c>
      <c r="D25" s="140"/>
      <c r="E25" s="140"/>
      <c r="F25" s="140"/>
      <c r="G25" s="140"/>
      <c r="H25" s="140"/>
      <c r="I25" s="140"/>
      <c r="J25" s="140"/>
      <c r="K25" s="140"/>
      <c r="L25" s="60"/>
      <c r="M25" s="1"/>
      <c r="O25" s="141">
        <f ca="1">DATE(YEAR(C2),MONTH(C2)-1,1)</f>
        <v>46235</v>
      </c>
      <c r="P25" s="141"/>
      <c r="Q25" s="141"/>
      <c r="R25" s="141"/>
      <c r="S25" s="141"/>
      <c r="T25" s="141"/>
      <c r="U25" s="141"/>
      <c r="V25" s="61"/>
      <c r="W25" s="61"/>
      <c r="X25" s="141">
        <f ca="1">DATE(YEAR(C2),MONTH(C2)+1,1)</f>
        <v>46296</v>
      </c>
      <c r="Y25" s="141"/>
      <c r="Z25" s="141"/>
      <c r="AA25" s="141"/>
      <c r="AB25" s="141"/>
      <c r="AC25" s="141"/>
      <c r="AD25" s="141"/>
      <c r="AF25" s="1"/>
    </row>
    <row r="26" spans="1:42" ht="15" customHeight="1" x14ac:dyDescent="0.2">
      <c r="A26" s="1"/>
      <c r="C26" s="140"/>
      <c r="D26" s="140"/>
      <c r="E26" s="140"/>
      <c r="F26" s="140"/>
      <c r="G26" s="140"/>
      <c r="H26" s="140"/>
      <c r="I26" s="140"/>
      <c r="J26" s="140"/>
      <c r="K26" s="140"/>
      <c r="L26" s="60"/>
      <c r="M26" s="1"/>
      <c r="O26" s="62" t="str">
        <f>INDEX({"S";"M";"T";"W";"T";"F";"S"},1+MOD(start_day+1-2,7))</f>
        <v>S</v>
      </c>
      <c r="P26" s="62" t="str">
        <f>INDEX({"S";"M";"T";"W";"T";"F";"S"},1+MOD(start_day+2-2,7))</f>
        <v>M</v>
      </c>
      <c r="Q26" s="62" t="str">
        <f>INDEX({"S";"M";"T";"W";"T";"F";"S"},1+MOD(start_day+3-2,7))</f>
        <v>T</v>
      </c>
      <c r="R26" s="62" t="str">
        <f>INDEX({"S";"M";"T";"W";"T";"F";"S"},1+MOD(start_day+4-2,7))</f>
        <v>W</v>
      </c>
      <c r="S26" s="62" t="str">
        <f>INDEX({"S";"M";"T";"W";"T";"F";"S"},1+MOD(start_day+5-2,7))</f>
        <v>T</v>
      </c>
      <c r="T26" s="62" t="str">
        <f>INDEX({"S";"M";"T";"W";"T";"F";"S"},1+MOD(start_day+6-2,7))</f>
        <v>F</v>
      </c>
      <c r="U26" s="62" t="str">
        <f>INDEX({"S";"M";"T";"W";"T";"F";"S"},1+MOD(start_day+7-2,7))</f>
        <v>S</v>
      </c>
      <c r="V26" s="63"/>
      <c r="W26" s="63"/>
      <c r="X26" s="62" t="str">
        <f>INDEX({"S";"M";"T";"W";"T";"F";"S"},1+MOD(start_day+1-2,7))</f>
        <v>S</v>
      </c>
      <c r="Y26" s="62" t="str">
        <f>INDEX({"S";"M";"T";"W";"T";"F";"S"},1+MOD(start_day+2-2,7))</f>
        <v>M</v>
      </c>
      <c r="Z26" s="62" t="str">
        <f>INDEX({"S";"M";"T";"W";"T";"F";"S"},1+MOD(start_day+3-2,7))</f>
        <v>T</v>
      </c>
      <c r="AA26" s="62" t="str">
        <f>INDEX({"S";"M";"T";"W";"T";"F";"S"},1+MOD(start_day+4-2,7))</f>
        <v>W</v>
      </c>
      <c r="AB26" s="62" t="str">
        <f>INDEX({"S";"M";"T";"W";"T";"F";"S"},1+MOD(start_day+5-2,7))</f>
        <v>T</v>
      </c>
      <c r="AC26" s="62" t="str">
        <f>INDEX({"S";"M";"T";"W";"T";"F";"S"},1+MOD(start_day+6-2,7))</f>
        <v>F</v>
      </c>
      <c r="AD26" s="62" t="str">
        <f>INDEX({"S";"M";"T";"W";"T";"F";"S"},1+MOD(start_day+7-2,7))</f>
        <v>S</v>
      </c>
      <c r="AF26" s="1"/>
    </row>
    <row r="27" spans="1:42" ht="15" customHeight="1" x14ac:dyDescent="0.2">
      <c r="A27" s="1"/>
      <c r="C27" s="116" t="s">
        <v>20</v>
      </c>
      <c r="D27" s="116"/>
      <c r="E27" s="116"/>
      <c r="F27" s="116"/>
      <c r="G27" s="116"/>
      <c r="H27" s="116"/>
      <c r="I27" s="116"/>
      <c r="J27" s="116"/>
      <c r="K27" s="116"/>
      <c r="M27" s="1"/>
      <c r="O27" s="64" t="str">
        <f t="shared" ref="O27:U32" ca="1" si="0"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65" t="str">
        <f t="shared" ca="1" si="0"/>
        <v/>
      </c>
      <c r="Q27" s="65" t="str">
        <f t="shared" ca="1" si="0"/>
        <v/>
      </c>
      <c r="R27" s="65" t="str">
        <f t="shared" ca="1" si="0"/>
        <v/>
      </c>
      <c r="S27" s="65" t="str">
        <f t="shared" ca="1" si="0"/>
        <v/>
      </c>
      <c r="T27" s="65" t="str">
        <f t="shared" ca="1" si="0"/>
        <v/>
      </c>
      <c r="U27" s="64">
        <f t="shared" ca="1" si="0"/>
        <v>46235</v>
      </c>
      <c r="V27" s="61"/>
      <c r="W27" s="61"/>
      <c r="X27" s="65" t="str">
        <f t="shared" ref="X27:AD32" ca="1" si="1"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65" t="str">
        <f t="shared" ca="1" si="1"/>
        <v/>
      </c>
      <c r="Z27" s="65" t="str">
        <f t="shared" ca="1" si="1"/>
        <v/>
      </c>
      <c r="AA27" s="65" t="str">
        <f t="shared" ca="1" si="1"/>
        <v/>
      </c>
      <c r="AB27" s="65">
        <f t="shared" ca="1" si="1"/>
        <v>46296</v>
      </c>
      <c r="AC27" s="65">
        <f t="shared" ca="1" si="1"/>
        <v>46297</v>
      </c>
      <c r="AD27" s="64">
        <f t="shared" ca="1" si="1"/>
        <v>46298</v>
      </c>
      <c r="AF27" s="1"/>
    </row>
    <row r="28" spans="1:42" ht="15" customHeight="1" x14ac:dyDescent="0.2">
      <c r="A28" s="1"/>
      <c r="C28" s="115" t="s">
        <v>21</v>
      </c>
      <c r="D28" s="115"/>
      <c r="E28" s="115"/>
      <c r="F28" s="115"/>
      <c r="G28" s="115"/>
      <c r="H28" s="115"/>
      <c r="I28" s="115"/>
      <c r="J28" s="115"/>
      <c r="K28" s="115"/>
      <c r="M28" s="1"/>
      <c r="O28" s="64">
        <f t="shared" ca="1" si="0"/>
        <v>46236</v>
      </c>
      <c r="P28" s="65">
        <f t="shared" ca="1" si="0"/>
        <v>46237</v>
      </c>
      <c r="Q28" s="65">
        <f t="shared" ca="1" si="0"/>
        <v>46238</v>
      </c>
      <c r="R28" s="65">
        <f t="shared" ca="1" si="0"/>
        <v>46239</v>
      </c>
      <c r="S28" s="65">
        <f t="shared" ca="1" si="0"/>
        <v>46240</v>
      </c>
      <c r="T28" s="65">
        <f t="shared" ca="1" si="0"/>
        <v>46241</v>
      </c>
      <c r="U28" s="64">
        <f t="shared" ca="1" si="0"/>
        <v>46242</v>
      </c>
      <c r="V28" s="61"/>
      <c r="W28" s="61"/>
      <c r="X28" s="64">
        <f t="shared" ca="1" si="1"/>
        <v>46299</v>
      </c>
      <c r="Y28" s="65">
        <f t="shared" ca="1" si="1"/>
        <v>46300</v>
      </c>
      <c r="Z28" s="65">
        <f t="shared" ca="1" si="1"/>
        <v>46301</v>
      </c>
      <c r="AA28" s="65">
        <f t="shared" ca="1" si="1"/>
        <v>46302</v>
      </c>
      <c r="AB28" s="65">
        <f t="shared" ca="1" si="1"/>
        <v>46303</v>
      </c>
      <c r="AC28" s="65">
        <f t="shared" ca="1" si="1"/>
        <v>46304</v>
      </c>
      <c r="AD28" s="64">
        <f t="shared" ca="1" si="1"/>
        <v>46305</v>
      </c>
      <c r="AF28" s="1"/>
    </row>
    <row r="29" spans="1:42" ht="15" customHeight="1" x14ac:dyDescent="0.2">
      <c r="A29" s="1"/>
      <c r="C29" s="116"/>
      <c r="D29" s="116"/>
      <c r="E29" s="116"/>
      <c r="F29" s="116"/>
      <c r="G29" s="116"/>
      <c r="H29" s="116"/>
      <c r="I29" s="116"/>
      <c r="J29" s="116"/>
      <c r="K29" s="116"/>
      <c r="M29" s="1"/>
      <c r="O29" s="64">
        <f t="shared" ca="1" si="0"/>
        <v>46243</v>
      </c>
      <c r="P29" s="65">
        <f t="shared" ca="1" si="0"/>
        <v>46244</v>
      </c>
      <c r="Q29" s="65">
        <f t="shared" ca="1" si="0"/>
        <v>46245</v>
      </c>
      <c r="R29" s="65">
        <f t="shared" ca="1" si="0"/>
        <v>46246</v>
      </c>
      <c r="S29" s="65">
        <f t="shared" ca="1" si="0"/>
        <v>46247</v>
      </c>
      <c r="T29" s="65">
        <f t="shared" ca="1" si="0"/>
        <v>46248</v>
      </c>
      <c r="U29" s="64">
        <f t="shared" ca="1" si="0"/>
        <v>46249</v>
      </c>
      <c r="V29" s="61"/>
      <c r="W29" s="61"/>
      <c r="X29" s="64">
        <f t="shared" ca="1" si="1"/>
        <v>46306</v>
      </c>
      <c r="Y29" s="65">
        <f t="shared" ca="1" si="1"/>
        <v>46307</v>
      </c>
      <c r="Z29" s="65">
        <f t="shared" ca="1" si="1"/>
        <v>46308</v>
      </c>
      <c r="AA29" s="65">
        <f t="shared" ca="1" si="1"/>
        <v>46309</v>
      </c>
      <c r="AB29" s="65">
        <f t="shared" ca="1" si="1"/>
        <v>46310</v>
      </c>
      <c r="AC29" s="65">
        <f t="shared" ca="1" si="1"/>
        <v>46311</v>
      </c>
      <c r="AD29" s="64">
        <f t="shared" ca="1" si="1"/>
        <v>46312</v>
      </c>
      <c r="AF29" s="1"/>
    </row>
    <row r="30" spans="1:42" ht="15" customHeight="1" x14ac:dyDescent="0.2">
      <c r="A30" s="1"/>
      <c r="C30" s="115" t="s">
        <v>22</v>
      </c>
      <c r="D30" s="115"/>
      <c r="E30" s="115"/>
      <c r="F30" s="115"/>
      <c r="G30" s="115"/>
      <c r="H30" s="115"/>
      <c r="I30" s="115"/>
      <c r="J30" s="115"/>
      <c r="K30" s="115"/>
      <c r="M30" s="1"/>
      <c r="O30" s="64">
        <f t="shared" ca="1" si="0"/>
        <v>46250</v>
      </c>
      <c r="P30" s="65">
        <f t="shared" ca="1" si="0"/>
        <v>46251</v>
      </c>
      <c r="Q30" s="65">
        <f t="shared" ca="1" si="0"/>
        <v>46252</v>
      </c>
      <c r="R30" s="65">
        <f t="shared" ca="1" si="0"/>
        <v>46253</v>
      </c>
      <c r="S30" s="65">
        <f t="shared" ca="1" si="0"/>
        <v>46254</v>
      </c>
      <c r="T30" s="65">
        <f t="shared" ca="1" si="0"/>
        <v>46255</v>
      </c>
      <c r="U30" s="64">
        <f t="shared" ca="1" si="0"/>
        <v>46256</v>
      </c>
      <c r="V30" s="61"/>
      <c r="W30" s="61"/>
      <c r="X30" s="64">
        <f t="shared" ca="1" si="1"/>
        <v>46313</v>
      </c>
      <c r="Y30" s="65">
        <f t="shared" ca="1" si="1"/>
        <v>46314</v>
      </c>
      <c r="Z30" s="65">
        <f t="shared" ca="1" si="1"/>
        <v>46315</v>
      </c>
      <c r="AA30" s="65">
        <f t="shared" ca="1" si="1"/>
        <v>46316</v>
      </c>
      <c r="AB30" s="65">
        <f t="shared" ca="1" si="1"/>
        <v>46317</v>
      </c>
      <c r="AC30" s="65">
        <f t="shared" ca="1" si="1"/>
        <v>46318</v>
      </c>
      <c r="AD30" s="64">
        <f t="shared" ca="1" si="1"/>
        <v>46319</v>
      </c>
      <c r="AF30" s="1"/>
    </row>
    <row r="31" spans="1:42" ht="15" customHeight="1" x14ac:dyDescent="0.2">
      <c r="A31" s="1"/>
      <c r="C31" s="116"/>
      <c r="D31" s="116"/>
      <c r="E31" s="116"/>
      <c r="F31" s="116"/>
      <c r="G31" s="116"/>
      <c r="H31" s="116"/>
      <c r="I31" s="116"/>
      <c r="J31" s="116"/>
      <c r="K31" s="116"/>
      <c r="M31" s="1"/>
      <c r="O31" s="64">
        <f t="shared" ca="1" si="0"/>
        <v>46257</v>
      </c>
      <c r="P31" s="65">
        <f t="shared" ca="1" si="0"/>
        <v>46258</v>
      </c>
      <c r="Q31" s="65">
        <f t="shared" ca="1" si="0"/>
        <v>46259</v>
      </c>
      <c r="R31" s="65">
        <f t="shared" ca="1" si="0"/>
        <v>46260</v>
      </c>
      <c r="S31" s="65">
        <f t="shared" ca="1" si="0"/>
        <v>46261</v>
      </c>
      <c r="T31" s="65">
        <f t="shared" ca="1" si="0"/>
        <v>46262</v>
      </c>
      <c r="U31" s="64">
        <f t="shared" ca="1" si="0"/>
        <v>46263</v>
      </c>
      <c r="V31" s="61"/>
      <c r="W31" s="61"/>
      <c r="X31" s="64">
        <f t="shared" ca="1" si="1"/>
        <v>46320</v>
      </c>
      <c r="Y31" s="65">
        <f t="shared" ca="1" si="1"/>
        <v>46321</v>
      </c>
      <c r="Z31" s="65">
        <f t="shared" ca="1" si="1"/>
        <v>46322</v>
      </c>
      <c r="AA31" s="65">
        <f t="shared" ca="1" si="1"/>
        <v>46323</v>
      </c>
      <c r="AB31" s="65">
        <f t="shared" ca="1" si="1"/>
        <v>46324</v>
      </c>
      <c r="AC31" s="65">
        <f t="shared" ca="1" si="1"/>
        <v>46325</v>
      </c>
      <c r="AD31" s="65">
        <f t="shared" ca="1" si="1"/>
        <v>46326</v>
      </c>
      <c r="AF31" s="1"/>
    </row>
    <row r="32" spans="1:42" x14ac:dyDescent="0.2">
      <c r="A32" s="1"/>
      <c r="M32" s="1"/>
      <c r="O32" s="64">
        <f t="shared" ca="1" si="0"/>
        <v>46264</v>
      </c>
      <c r="P32" s="65">
        <f t="shared" ca="1" si="0"/>
        <v>46265</v>
      </c>
      <c r="Q32" s="65" t="str">
        <f t="shared" ca="1" si="0"/>
        <v/>
      </c>
      <c r="R32" s="65" t="str">
        <f t="shared" ca="1" si="0"/>
        <v/>
      </c>
      <c r="S32" s="65" t="str">
        <f t="shared" ca="1" si="0"/>
        <v/>
      </c>
      <c r="T32" s="65" t="str">
        <f t="shared" ca="1" si="0"/>
        <v/>
      </c>
      <c r="U32" s="64" t="str">
        <f t="shared" ca="1" si="0"/>
        <v/>
      </c>
      <c r="V32" s="61"/>
      <c r="W32" s="61"/>
      <c r="X32" s="64" t="str">
        <f t="shared" ca="1" si="1"/>
        <v/>
      </c>
      <c r="Y32" s="65" t="str">
        <f t="shared" ca="1" si="1"/>
        <v/>
      </c>
      <c r="Z32" s="65" t="str">
        <f t="shared" ca="1" si="1"/>
        <v/>
      </c>
      <c r="AA32" s="65" t="str">
        <f t="shared" ca="1" si="1"/>
        <v/>
      </c>
      <c r="AB32" s="65" t="str">
        <f t="shared" ca="1" si="1"/>
        <v/>
      </c>
      <c r="AC32" s="65" t="str">
        <f t="shared" ca="1" si="1"/>
        <v/>
      </c>
      <c r="AD32" s="65" t="str">
        <f t="shared" ca="1" si="1"/>
        <v/>
      </c>
      <c r="AF32" s="1"/>
    </row>
    <row r="33" spans="1:32" x14ac:dyDescent="0.2">
      <c r="A33" s="1"/>
      <c r="M33" s="1"/>
      <c r="O33" s="64"/>
      <c r="P33" s="65"/>
      <c r="Q33" s="65"/>
      <c r="R33" s="65"/>
      <c r="S33" s="65"/>
      <c r="T33" s="65"/>
      <c r="U33" s="64"/>
      <c r="V33" s="61"/>
      <c r="W33" s="61"/>
      <c r="X33" s="64"/>
      <c r="Y33" s="65"/>
      <c r="Z33" s="65"/>
      <c r="AA33" s="65"/>
      <c r="AB33" s="65"/>
      <c r="AC33" s="65"/>
      <c r="AD33" s="65"/>
      <c r="AF33" s="1"/>
    </row>
    <row r="34" spans="1:32" ht="24.9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8" spans="1:32" ht="13.5" thickBot="1" x14ac:dyDescent="0.25"/>
    <row r="39" spans="1:32" ht="12.6" customHeight="1" x14ac:dyDescent="0.2">
      <c r="D39" s="84" t="s">
        <v>23</v>
      </c>
      <c r="E39" s="85"/>
      <c r="F39" s="86"/>
      <c r="G39" s="90">
        <f ca="1">ROUNDDOWN((DATE(2026,11,13)-TODAY())/7,0)</f>
        <v>4</v>
      </c>
      <c r="H39" s="91"/>
      <c r="I39" s="84" t="s">
        <v>26</v>
      </c>
      <c r="J39" s="98"/>
      <c r="K39" s="94" t="s">
        <v>24</v>
      </c>
      <c r="L39" s="95"/>
      <c r="M39" s="106">
        <f ca="1">7*(((DATE(2026,11,13)-TODAY())/7)-ROUNDDOWN((DATE(2026,11,13)-TODAY())/7,0))</f>
        <v>5.0000000000000009</v>
      </c>
      <c r="N39" s="107"/>
      <c r="O39" s="107"/>
      <c r="P39" s="107"/>
      <c r="Q39" s="107"/>
      <c r="R39" s="108"/>
      <c r="S39" s="100" t="s">
        <v>25</v>
      </c>
      <c r="T39" s="101"/>
      <c r="U39" s="101"/>
      <c r="V39" s="101"/>
      <c r="W39" s="101"/>
      <c r="X39" s="102"/>
    </row>
    <row r="40" spans="1:32" ht="12.95" customHeight="1" thickBot="1" x14ac:dyDescent="0.25">
      <c r="D40" s="87"/>
      <c r="E40" s="88"/>
      <c r="F40" s="89"/>
      <c r="G40" s="92"/>
      <c r="H40" s="93"/>
      <c r="I40" s="87"/>
      <c r="J40" s="99"/>
      <c r="K40" s="96"/>
      <c r="L40" s="97"/>
      <c r="M40" s="109"/>
      <c r="N40" s="110"/>
      <c r="O40" s="110"/>
      <c r="P40" s="110"/>
      <c r="Q40" s="110"/>
      <c r="R40" s="111"/>
      <c r="S40" s="103"/>
      <c r="T40" s="104"/>
      <c r="U40" s="104"/>
      <c r="V40" s="104"/>
      <c r="W40" s="104"/>
      <c r="X40" s="105"/>
    </row>
  </sheetData>
  <mergeCells count="110">
    <mergeCell ref="W18:AD18"/>
    <mergeCell ref="C25:K26"/>
    <mergeCell ref="O25:U25"/>
    <mergeCell ref="X25:AD25"/>
    <mergeCell ref="C27:K27"/>
    <mergeCell ref="C28:K29"/>
    <mergeCell ref="C18:D18"/>
    <mergeCell ref="E18:F18"/>
    <mergeCell ref="G18:H18"/>
    <mergeCell ref="I18:J18"/>
    <mergeCell ref="O18:V18"/>
    <mergeCell ref="C19:D20"/>
    <mergeCell ref="I19:J19"/>
    <mergeCell ref="W20:AD20"/>
    <mergeCell ref="C21:D21"/>
    <mergeCell ref="E21:F21"/>
    <mergeCell ref="G21:H21"/>
    <mergeCell ref="I21:J21"/>
    <mergeCell ref="O21:V21"/>
    <mergeCell ref="W21:AD21"/>
    <mergeCell ref="O19:V19"/>
    <mergeCell ref="W15:AD15"/>
    <mergeCell ref="C16:D17"/>
    <mergeCell ref="E17:F17"/>
    <mergeCell ref="G17:H17"/>
    <mergeCell ref="I17:J17"/>
    <mergeCell ref="O17:V17"/>
    <mergeCell ref="W17:AD17"/>
    <mergeCell ref="C15:D15"/>
    <mergeCell ref="E15:F15"/>
    <mergeCell ref="G15:H15"/>
    <mergeCell ref="I15:J15"/>
    <mergeCell ref="O15:V15"/>
    <mergeCell ref="K15:N15"/>
    <mergeCell ref="I16:J16"/>
    <mergeCell ref="O16:V16"/>
    <mergeCell ref="W12:AD12"/>
    <mergeCell ref="C13:D14"/>
    <mergeCell ref="E14:F14"/>
    <mergeCell ref="G14:H14"/>
    <mergeCell ref="I14:J14"/>
    <mergeCell ref="K14:M14"/>
    <mergeCell ref="O14:V14"/>
    <mergeCell ref="W14:AD14"/>
    <mergeCell ref="C12:D12"/>
    <mergeCell ref="E12:F12"/>
    <mergeCell ref="G12:H12"/>
    <mergeCell ref="I12:J12"/>
    <mergeCell ref="O12:V12"/>
    <mergeCell ref="K12:N12"/>
    <mergeCell ref="W9:AD9"/>
    <mergeCell ref="C10:D11"/>
    <mergeCell ref="E11:F11"/>
    <mergeCell ref="G11:H11"/>
    <mergeCell ref="I11:J11"/>
    <mergeCell ref="K11:M11"/>
    <mergeCell ref="O11:V11"/>
    <mergeCell ref="W11:AD11"/>
    <mergeCell ref="C9:D9"/>
    <mergeCell ref="E9:F9"/>
    <mergeCell ref="G9:H9"/>
    <mergeCell ref="I9:J9"/>
    <mergeCell ref="O9:V9"/>
    <mergeCell ref="K9:N9"/>
    <mergeCell ref="C7:D8"/>
    <mergeCell ref="E7:F7"/>
    <mergeCell ref="G7:H7"/>
    <mergeCell ref="I7:J7"/>
    <mergeCell ref="K7:M7"/>
    <mergeCell ref="W7:AD7"/>
    <mergeCell ref="E8:F8"/>
    <mergeCell ref="G8:H8"/>
    <mergeCell ref="I8:J8"/>
    <mergeCell ref="K8:M8"/>
    <mergeCell ref="O8:V8"/>
    <mergeCell ref="W8:AD8"/>
    <mergeCell ref="O7:V7"/>
    <mergeCell ref="C6:D6"/>
    <mergeCell ref="E6:F6"/>
    <mergeCell ref="G6:H6"/>
    <mergeCell ref="I6:J6"/>
    <mergeCell ref="O6:V6"/>
    <mergeCell ref="W6:AD6"/>
    <mergeCell ref="C5:D5"/>
    <mergeCell ref="E5:F5"/>
    <mergeCell ref="G5:H5"/>
    <mergeCell ref="I5:J5"/>
    <mergeCell ref="K5:M5"/>
    <mergeCell ref="O5:V5"/>
    <mergeCell ref="K6:N6"/>
    <mergeCell ref="C2:AD2"/>
    <mergeCell ref="C4:D4"/>
    <mergeCell ref="E4:F4"/>
    <mergeCell ref="G4:H4"/>
    <mergeCell ref="I4:J4"/>
    <mergeCell ref="K4:M4"/>
    <mergeCell ref="O4:V4"/>
    <mergeCell ref="W4:AD4"/>
    <mergeCell ref="W5:AD5"/>
    <mergeCell ref="D39:F40"/>
    <mergeCell ref="G39:H40"/>
    <mergeCell ref="K39:L40"/>
    <mergeCell ref="I39:J40"/>
    <mergeCell ref="S39:X40"/>
    <mergeCell ref="M39:R40"/>
    <mergeCell ref="E20:F20"/>
    <mergeCell ref="G20:H20"/>
    <mergeCell ref="I20:J20"/>
    <mergeCell ref="O20:V20"/>
    <mergeCell ref="C30:K31"/>
  </mergeCells>
  <conditionalFormatting sqref="C5 E5 G5 I5 K5:L5 O5 W5 C7 E8 G8 I8 K8:L8 O8 W8 C10 E11 G11 I11 K11:L11 O11 W11 C13 E14 G14 I14 K14:L14 O14 W14 C16 E17 G17 I17 K17:L17 O17 W17">
    <cfRule type="expression" dxfId="11" priority="3">
      <formula>MONTH(C5)&lt;&gt;MONTH($C$2)</formula>
    </cfRule>
    <cfRule type="expression" dxfId="10" priority="4">
      <formula>OR(WEEKDAY(C5,1)=1,WEEKDAY(C5,1)=7)</formula>
    </cfRule>
  </conditionalFormatting>
  <conditionalFormatting sqref="C19 E20 G20 I20 K20:L20 O20 W20">
    <cfRule type="expression" dxfId="9" priority="1">
      <formula>MONTH(C19)&lt;&gt;MONTH($C$2)</formula>
    </cfRule>
    <cfRule type="expression" dxfId="8" priority="2">
      <formula>OR(WEEKDAY(C19,1)=1,WEEKDAY(C19,1)=7)</formula>
    </cfRule>
  </conditionalFormatting>
  <dataValidations disablePrompts="1" count="7">
    <dataValidation allowBlank="1" showInputMessage="1" showErrorMessage="1" prompt="To change the calendar year, go to cell P8 in About sheet" sqref="C2:AD2" xr:uid="{12C3F41C-6F60-4192-BDA2-F40D7A7F87EA}"/>
    <dataValidation allowBlank="1" showInputMessage="1" showErrorMessage="1" prompt="Calendar days are automatically updated" sqref="C5:D5" xr:uid="{762591FD-6702-44CD-BD32-804A46086457}"/>
    <dataValidation allowBlank="1" showInputMessage="1" showErrorMessage="1" prompt="To change the starting day of the week, go to cell P12 in About sheet" sqref="C4:D4" xr:uid="{2181BF5B-3036-44AE-9B78-20A9E5B80A3F}"/>
    <dataValidation allowBlank="1" showInputMessage="1" showErrorMessage="1" prompt="Enter daily notes below the calendar days, such as this cell" sqref="C6:D6" xr:uid="{D4DD023D-7DAA-497A-9EFB-922BEBBBEB42}"/>
    <dataValidation allowBlank="1" showInputMessage="1" showErrorMessage="1" prompt="Enter monthly notes in cells C24 to K28" sqref="C25:K26" xr:uid="{D01C327B-A1DF-46FA-B4FE-F2D2113F41A8}"/>
    <dataValidation allowBlank="1" showInputMessage="1" showErrorMessage="1" prompt="Previous month calendar" sqref="O25:U25" xr:uid="{ECED16BC-D9D1-402E-B227-1460B023E51C}"/>
    <dataValidation allowBlank="1" showInputMessage="1" showErrorMessage="1" prompt="Next month calendar" sqref="X25:AD25" xr:uid="{56D094D3-DE4E-402C-9A54-05FBD1A7AB44}"/>
  </dataValidations>
  <printOptions horizontalCentered="1"/>
  <pageMargins left="0.5" right="0.5" top="0.25" bottom="0.25" header="0.25" footer="0.25"/>
  <pageSetup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77C1-BC85-475A-97F1-3502F214FA84}">
  <sheetPr>
    <pageSetUpPr fitToPage="1"/>
  </sheetPr>
  <dimension ref="A1:AP40"/>
  <sheetViews>
    <sheetView showGridLines="0" tabSelected="1" topLeftCell="A7" zoomScaleNormal="100" workbookViewId="0">
      <selection activeCell="K9" sqref="K9:N9"/>
    </sheetView>
  </sheetViews>
  <sheetFormatPr defaultColWidth="8.7109375" defaultRowHeight="12.75" x14ac:dyDescent="0.2"/>
  <cols>
    <col min="1" max="3" width="5.5703125" style="3" customWidth="1"/>
    <col min="4" max="4" width="15.5703125" style="3" customWidth="1"/>
    <col min="5" max="5" width="5.5703125" style="3" customWidth="1"/>
    <col min="6" max="6" width="15.5703125" style="3" customWidth="1"/>
    <col min="7" max="7" width="5.5703125" style="3" customWidth="1"/>
    <col min="8" max="8" width="15.5703125" style="3" customWidth="1"/>
    <col min="9" max="9" width="5.5703125" style="3" customWidth="1"/>
    <col min="10" max="10" width="15.5703125" style="3" customWidth="1"/>
    <col min="11" max="14" width="5.5703125" style="3" customWidth="1"/>
    <col min="15" max="30" width="2.5703125" style="3" customWidth="1"/>
    <col min="31" max="32" width="5.5703125" style="3" customWidth="1"/>
    <col min="33" max="33" width="17.140625" style="3" customWidth="1"/>
    <col min="34" max="34" width="10.42578125" style="3" customWidth="1"/>
    <col min="35" max="16384" width="8.7109375" style="3"/>
  </cols>
  <sheetData>
    <row r="1" spans="1:36" ht="24.9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s="30" customFormat="1" ht="90" customHeight="1" x14ac:dyDescent="0.8">
      <c r="A2" s="29"/>
      <c r="C2" s="117">
        <f ca="1">DATE(About!P8,10,1)</f>
        <v>46296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F2" s="29"/>
    </row>
    <row r="3" spans="1:36" s="32" customFormat="1" ht="24.95" customHeight="1" x14ac:dyDescent="0.8">
      <c r="A3" s="31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4"/>
      <c r="V3" s="30"/>
      <c r="AF3" s="29"/>
      <c r="AG3" s="30"/>
      <c r="AH3" s="30"/>
      <c r="AI3" s="30"/>
    </row>
    <row r="4" spans="1:36" s="36" customFormat="1" ht="30" customHeight="1" x14ac:dyDescent="0.25">
      <c r="A4" s="35"/>
      <c r="C4" s="118">
        <f ca="1">C5</f>
        <v>46292</v>
      </c>
      <c r="D4" s="118"/>
      <c r="E4" s="118">
        <f ca="1">E5</f>
        <v>46293</v>
      </c>
      <c r="F4" s="118"/>
      <c r="G4" s="118">
        <f ca="1">G5</f>
        <v>46294</v>
      </c>
      <c r="H4" s="118"/>
      <c r="I4" s="118">
        <f ca="1">I5</f>
        <v>46295</v>
      </c>
      <c r="J4" s="118"/>
      <c r="K4" s="118">
        <f ca="1">K5</f>
        <v>46296</v>
      </c>
      <c r="L4" s="118"/>
      <c r="M4" s="118"/>
      <c r="N4" s="37"/>
      <c r="O4" s="118">
        <f ca="1">O5</f>
        <v>46297</v>
      </c>
      <c r="P4" s="118"/>
      <c r="Q4" s="118"/>
      <c r="R4" s="118"/>
      <c r="S4" s="118"/>
      <c r="T4" s="118"/>
      <c r="U4" s="118"/>
      <c r="V4" s="118"/>
      <c r="W4" s="118">
        <f ca="1">W5</f>
        <v>46298</v>
      </c>
      <c r="X4" s="118"/>
      <c r="Y4" s="118"/>
      <c r="Z4" s="118"/>
      <c r="AA4" s="118"/>
      <c r="AB4" s="118"/>
      <c r="AC4" s="118"/>
      <c r="AD4" s="118"/>
      <c r="AF4" s="38"/>
      <c r="AG4" s="39"/>
      <c r="AH4" s="39"/>
      <c r="AI4" s="39"/>
      <c r="AJ4" s="39"/>
    </row>
    <row r="5" spans="1:36" ht="24.95" customHeight="1" x14ac:dyDescent="0.2">
      <c r="A5" s="1"/>
      <c r="C5" s="119">
        <f ca="1">$C$2-(WEEKDAY($C$2,1)-(start_day-1))-IF((WEEKDAY($C$2,1)-(start_day-1))&lt;=0,7,0)+1</f>
        <v>46292</v>
      </c>
      <c r="D5" s="121"/>
      <c r="E5" s="119">
        <f ca="1">C5+1</f>
        <v>46293</v>
      </c>
      <c r="F5" s="121"/>
      <c r="G5" s="119">
        <f ca="1">E5+1</f>
        <v>46294</v>
      </c>
      <c r="H5" s="121"/>
      <c r="I5" s="119">
        <f ca="1">G5+1</f>
        <v>46295</v>
      </c>
      <c r="J5" s="121"/>
      <c r="K5" s="119">
        <f ca="1">I5+1</f>
        <v>46296</v>
      </c>
      <c r="L5" s="120"/>
      <c r="M5" s="120"/>
      <c r="N5" s="74"/>
      <c r="O5" s="119">
        <f ca="1">K5+1</f>
        <v>46297</v>
      </c>
      <c r="P5" s="120"/>
      <c r="Q5" s="120"/>
      <c r="R5" s="120"/>
      <c r="S5" s="120"/>
      <c r="T5" s="120"/>
      <c r="U5" s="120"/>
      <c r="V5" s="121"/>
      <c r="W5" s="119">
        <f ca="1">O5+1</f>
        <v>46298</v>
      </c>
      <c r="X5" s="120"/>
      <c r="Y5" s="120"/>
      <c r="Z5" s="120"/>
      <c r="AA5" s="120"/>
      <c r="AB5" s="120"/>
      <c r="AC5" s="120"/>
      <c r="AD5" s="121"/>
      <c r="AF5" s="40"/>
      <c r="AG5" s="41"/>
      <c r="AH5" s="41"/>
      <c r="AI5" s="41"/>
      <c r="AJ5" s="41"/>
    </row>
    <row r="6" spans="1:36" s="43" customFormat="1" ht="131.65" customHeight="1" x14ac:dyDescent="0.2">
      <c r="A6" s="42"/>
      <c r="C6" s="144"/>
      <c r="D6" s="145"/>
      <c r="E6" s="144"/>
      <c r="F6" s="145"/>
      <c r="G6" s="144"/>
      <c r="H6" s="145"/>
      <c r="I6" s="144"/>
      <c r="J6" s="145"/>
      <c r="K6" s="133"/>
      <c r="L6" s="134"/>
      <c r="M6" s="134"/>
      <c r="N6" s="135"/>
      <c r="O6" s="133"/>
      <c r="P6" s="134"/>
      <c r="Q6" s="134"/>
      <c r="R6" s="134"/>
      <c r="S6" s="134"/>
      <c r="T6" s="134"/>
      <c r="U6" s="134"/>
      <c r="V6" s="135"/>
      <c r="W6" s="142" t="s">
        <v>19</v>
      </c>
      <c r="X6" s="146"/>
      <c r="Y6" s="146"/>
      <c r="Z6" s="146"/>
      <c r="AA6" s="146"/>
      <c r="AB6" s="146"/>
      <c r="AC6" s="146"/>
      <c r="AD6" s="143"/>
      <c r="AE6" s="7"/>
      <c r="AF6" s="42"/>
    </row>
    <row r="7" spans="1:36" ht="9.9499999999999993" customHeight="1" x14ac:dyDescent="0.2">
      <c r="A7" s="1"/>
      <c r="C7" s="119">
        <f ca="1">W5+1</f>
        <v>46299</v>
      </c>
      <c r="D7" s="121"/>
      <c r="E7" s="127"/>
      <c r="F7" s="128"/>
      <c r="G7" s="127"/>
      <c r="H7" s="128"/>
      <c r="I7" s="127"/>
      <c r="J7" s="128"/>
      <c r="K7" s="127"/>
      <c r="L7" s="129"/>
      <c r="M7" s="129"/>
      <c r="N7" s="75"/>
      <c r="O7" s="127"/>
      <c r="P7" s="129"/>
      <c r="Q7" s="129"/>
      <c r="R7" s="129"/>
      <c r="S7" s="129"/>
      <c r="T7" s="129"/>
      <c r="U7" s="129"/>
      <c r="V7" s="128"/>
      <c r="W7" s="127"/>
      <c r="X7" s="129"/>
      <c r="Y7" s="129"/>
      <c r="Z7" s="129"/>
      <c r="AA7" s="129"/>
      <c r="AB7" s="129"/>
      <c r="AC7" s="129"/>
      <c r="AD7" s="128"/>
      <c r="AF7" s="1"/>
    </row>
    <row r="8" spans="1:36" s="7" customFormat="1" ht="15" customHeight="1" x14ac:dyDescent="0.2">
      <c r="A8" s="4"/>
      <c r="C8" s="119"/>
      <c r="D8" s="121"/>
      <c r="E8" s="112">
        <f ca="1">C7+1</f>
        <v>46300</v>
      </c>
      <c r="F8" s="113"/>
      <c r="G8" s="112">
        <f ca="1">E8+1</f>
        <v>46301</v>
      </c>
      <c r="H8" s="113"/>
      <c r="I8" s="112">
        <f ca="1">G8+1</f>
        <v>46302</v>
      </c>
      <c r="J8" s="113"/>
      <c r="K8" s="112">
        <f ca="1">I8+1</f>
        <v>46303</v>
      </c>
      <c r="L8" s="114"/>
      <c r="M8" s="114"/>
      <c r="N8" s="50"/>
      <c r="O8" s="112">
        <f ca="1">K8+1</f>
        <v>46304</v>
      </c>
      <c r="P8" s="114"/>
      <c r="Q8" s="114"/>
      <c r="R8" s="114"/>
      <c r="S8" s="114"/>
      <c r="T8" s="114"/>
      <c r="U8" s="114"/>
      <c r="V8" s="113"/>
      <c r="W8" s="112">
        <f ca="1">O8+1</f>
        <v>46305</v>
      </c>
      <c r="X8" s="114"/>
      <c r="Y8" s="114"/>
      <c r="Z8" s="114"/>
      <c r="AA8" s="114"/>
      <c r="AB8" s="114"/>
      <c r="AC8" s="114"/>
      <c r="AD8" s="113"/>
      <c r="AF8" s="4"/>
    </row>
    <row r="9" spans="1:36" s="43" customFormat="1" ht="210.75" customHeight="1" x14ac:dyDescent="0.2">
      <c r="A9" s="42"/>
      <c r="C9" s="147"/>
      <c r="D9" s="149"/>
      <c r="E9" s="147" t="s">
        <v>28</v>
      </c>
      <c r="F9" s="149"/>
      <c r="G9" s="147" t="s">
        <v>27</v>
      </c>
      <c r="H9" s="149"/>
      <c r="I9" s="147" t="s">
        <v>36</v>
      </c>
      <c r="J9" s="149"/>
      <c r="K9" s="147" t="s">
        <v>61</v>
      </c>
      <c r="L9" s="148"/>
      <c r="M9" s="148"/>
      <c r="N9" s="149"/>
      <c r="O9" s="147" t="s">
        <v>47</v>
      </c>
      <c r="P9" s="148"/>
      <c r="Q9" s="148"/>
      <c r="R9" s="148"/>
      <c r="S9" s="148"/>
      <c r="T9" s="148"/>
      <c r="U9" s="148"/>
      <c r="V9" s="149"/>
      <c r="W9" s="147"/>
      <c r="X9" s="148"/>
      <c r="Y9" s="148"/>
      <c r="Z9" s="148"/>
      <c r="AA9" s="148"/>
      <c r="AB9" s="148"/>
      <c r="AC9" s="148"/>
      <c r="AD9" s="149"/>
      <c r="AE9" s="7"/>
      <c r="AF9" s="42"/>
    </row>
    <row r="10" spans="1:36" s="43" customFormat="1" ht="9.9499999999999993" customHeight="1" x14ac:dyDescent="0.2">
      <c r="A10" s="42"/>
      <c r="C10" s="119">
        <f ca="1">W8+1</f>
        <v>46306</v>
      </c>
      <c r="D10" s="121"/>
      <c r="E10" s="45"/>
      <c r="F10" s="75"/>
      <c r="G10" s="45"/>
      <c r="H10" s="75"/>
      <c r="I10" s="45"/>
      <c r="J10" s="75"/>
      <c r="K10" s="45"/>
      <c r="L10" s="76"/>
      <c r="M10" s="76"/>
      <c r="N10" s="75"/>
      <c r="O10" s="45"/>
      <c r="P10" s="76"/>
      <c r="Q10" s="76"/>
      <c r="R10" s="76"/>
      <c r="S10" s="76"/>
      <c r="T10" s="76"/>
      <c r="U10" s="76"/>
      <c r="V10" s="75"/>
      <c r="W10" s="45"/>
      <c r="X10" s="76"/>
      <c r="Y10" s="76"/>
      <c r="Z10" s="76"/>
      <c r="AA10" s="76"/>
      <c r="AB10" s="76"/>
      <c r="AC10" s="76"/>
      <c r="AD10" s="75"/>
      <c r="AE10" s="7"/>
      <c r="AF10" s="42"/>
    </row>
    <row r="11" spans="1:36" s="7" customFormat="1" ht="15" customHeight="1" x14ac:dyDescent="0.2">
      <c r="A11" s="4"/>
      <c r="C11" s="119"/>
      <c r="D11" s="121"/>
      <c r="E11" s="112">
        <f ca="1">C10+1</f>
        <v>46307</v>
      </c>
      <c r="F11" s="113"/>
      <c r="G11" s="112">
        <f ca="1">E11+1</f>
        <v>46308</v>
      </c>
      <c r="H11" s="113"/>
      <c r="I11" s="112">
        <f ca="1">G11+1</f>
        <v>46309</v>
      </c>
      <c r="J11" s="113"/>
      <c r="K11" s="112">
        <f ca="1">I11+1</f>
        <v>46310</v>
      </c>
      <c r="L11" s="114"/>
      <c r="M11" s="114"/>
      <c r="N11" s="50"/>
      <c r="O11" s="112">
        <f ca="1">K11+1</f>
        <v>46311</v>
      </c>
      <c r="P11" s="114"/>
      <c r="Q11" s="114"/>
      <c r="R11" s="114"/>
      <c r="S11" s="114"/>
      <c r="T11" s="114"/>
      <c r="U11" s="114"/>
      <c r="V11" s="113"/>
      <c r="W11" s="112">
        <f ca="1">O11+1</f>
        <v>46312</v>
      </c>
      <c r="X11" s="114"/>
      <c r="Y11" s="114"/>
      <c r="Z11" s="114"/>
      <c r="AA11" s="114"/>
      <c r="AB11" s="114"/>
      <c r="AC11" s="114"/>
      <c r="AD11" s="113"/>
      <c r="AF11" s="4"/>
      <c r="AJ11" s="3"/>
    </row>
    <row r="12" spans="1:36" s="43" customFormat="1" ht="134.65" customHeight="1" x14ac:dyDescent="0.2">
      <c r="A12" s="42"/>
      <c r="C12" s="151" t="s">
        <v>46</v>
      </c>
      <c r="D12" s="152"/>
      <c r="E12" s="153" t="s">
        <v>38</v>
      </c>
      <c r="F12" s="149"/>
      <c r="G12" s="147" t="s">
        <v>37</v>
      </c>
      <c r="H12" s="149"/>
      <c r="I12" s="151" t="s">
        <v>58</v>
      </c>
      <c r="J12" s="152"/>
      <c r="K12" s="153" t="s">
        <v>39</v>
      </c>
      <c r="L12" s="148"/>
      <c r="M12" s="148"/>
      <c r="N12" s="149"/>
      <c r="O12" s="147" t="s">
        <v>57</v>
      </c>
      <c r="P12" s="148"/>
      <c r="Q12" s="148"/>
      <c r="R12" s="148"/>
      <c r="S12" s="148"/>
      <c r="T12" s="148"/>
      <c r="U12" s="148"/>
      <c r="V12" s="149"/>
      <c r="W12" s="150" t="s">
        <v>29</v>
      </c>
      <c r="X12" s="148"/>
      <c r="Y12" s="148"/>
      <c r="Z12" s="148"/>
      <c r="AA12" s="148"/>
      <c r="AB12" s="148"/>
      <c r="AC12" s="148"/>
      <c r="AD12" s="149"/>
      <c r="AE12" s="7"/>
      <c r="AF12" s="42"/>
    </row>
    <row r="13" spans="1:36" s="43" customFormat="1" ht="9.9499999999999993" customHeight="1" x14ac:dyDescent="0.2">
      <c r="A13" s="42"/>
      <c r="C13" s="119">
        <f ca="1">W11+1</f>
        <v>46313</v>
      </c>
      <c r="D13" s="121"/>
      <c r="E13" s="45"/>
      <c r="F13" s="75"/>
      <c r="G13" s="45"/>
      <c r="H13" s="75"/>
      <c r="I13" s="45"/>
      <c r="J13" s="75"/>
      <c r="K13" s="45"/>
      <c r="L13" s="76"/>
      <c r="M13" s="76"/>
      <c r="N13" s="75"/>
      <c r="O13" s="45"/>
      <c r="P13" s="76"/>
      <c r="Q13" s="76"/>
      <c r="R13" s="76"/>
      <c r="S13" s="76"/>
      <c r="T13" s="76"/>
      <c r="U13" s="76"/>
      <c r="V13" s="75"/>
      <c r="W13" s="45"/>
      <c r="X13" s="76"/>
      <c r="Y13" s="76"/>
      <c r="Z13" s="76"/>
      <c r="AA13" s="76"/>
      <c r="AB13" s="76"/>
      <c r="AC13" s="76"/>
      <c r="AD13" s="75"/>
      <c r="AE13" s="7"/>
      <c r="AF13" s="42"/>
    </row>
    <row r="14" spans="1:36" s="7" customFormat="1" ht="15" customHeight="1" x14ac:dyDescent="0.2">
      <c r="A14" s="4"/>
      <c r="C14" s="119"/>
      <c r="D14" s="121"/>
      <c r="E14" s="112">
        <f ca="1">C13+1</f>
        <v>46314</v>
      </c>
      <c r="F14" s="113"/>
      <c r="G14" s="112">
        <f ca="1">E14+1</f>
        <v>46315</v>
      </c>
      <c r="H14" s="113"/>
      <c r="I14" s="112">
        <f ca="1">G14+1</f>
        <v>46316</v>
      </c>
      <c r="J14" s="113"/>
      <c r="K14" s="112">
        <f ca="1">I14+1</f>
        <v>46317</v>
      </c>
      <c r="L14" s="114"/>
      <c r="M14" s="114"/>
      <c r="N14" s="50"/>
      <c r="O14" s="112">
        <f ca="1">K14+1</f>
        <v>46318</v>
      </c>
      <c r="P14" s="114"/>
      <c r="Q14" s="114"/>
      <c r="R14" s="114"/>
      <c r="S14" s="114"/>
      <c r="T14" s="114"/>
      <c r="U14" s="114"/>
      <c r="V14" s="113"/>
      <c r="W14" s="112">
        <f ca="1">O14+1</f>
        <v>46319</v>
      </c>
      <c r="X14" s="114"/>
      <c r="Y14" s="114"/>
      <c r="Z14" s="114"/>
      <c r="AA14" s="114"/>
      <c r="AB14" s="114"/>
      <c r="AC14" s="114"/>
      <c r="AD14" s="113"/>
      <c r="AF14" s="4"/>
    </row>
    <row r="15" spans="1:36" s="43" customFormat="1" ht="140.65" customHeight="1" x14ac:dyDescent="0.2">
      <c r="A15" s="42"/>
      <c r="C15" s="150" t="s">
        <v>30</v>
      </c>
      <c r="D15" s="149"/>
      <c r="E15" s="151" t="s">
        <v>49</v>
      </c>
      <c r="F15" s="152"/>
      <c r="G15" s="151" t="s">
        <v>50</v>
      </c>
      <c r="H15" s="152"/>
      <c r="I15" s="150" t="s">
        <v>33</v>
      </c>
      <c r="J15" s="149"/>
      <c r="K15" s="151" t="s">
        <v>59</v>
      </c>
      <c r="L15" s="154"/>
      <c r="M15" s="154"/>
      <c r="N15" s="152"/>
      <c r="O15" s="147" t="s">
        <v>31</v>
      </c>
      <c r="P15" s="148"/>
      <c r="Q15" s="148"/>
      <c r="R15" s="148"/>
      <c r="S15" s="148"/>
      <c r="T15" s="148"/>
      <c r="U15" s="148"/>
      <c r="V15" s="149"/>
      <c r="W15" s="150" t="s">
        <v>32</v>
      </c>
      <c r="X15" s="148"/>
      <c r="Y15" s="148"/>
      <c r="Z15" s="148"/>
      <c r="AA15" s="148"/>
      <c r="AB15" s="148"/>
      <c r="AC15" s="148"/>
      <c r="AD15" s="149"/>
      <c r="AE15" s="7"/>
      <c r="AF15" s="42"/>
    </row>
    <row r="16" spans="1:36" s="43" customFormat="1" ht="9.9499999999999993" customHeight="1" x14ac:dyDescent="0.2">
      <c r="A16" s="42"/>
      <c r="C16" s="119">
        <f ca="1">W14+1</f>
        <v>46320</v>
      </c>
      <c r="D16" s="121"/>
      <c r="E16" s="45"/>
      <c r="F16" s="75"/>
      <c r="G16" s="45"/>
      <c r="H16" s="75"/>
      <c r="I16" s="47"/>
      <c r="J16" s="48"/>
      <c r="K16" s="47"/>
      <c r="L16" s="49"/>
      <c r="M16" s="49"/>
      <c r="N16" s="48"/>
      <c r="O16" s="47"/>
      <c r="P16" s="49"/>
      <c r="Q16" s="49"/>
      <c r="R16" s="49"/>
      <c r="S16" s="49"/>
      <c r="T16" s="49"/>
      <c r="U16" s="49"/>
      <c r="V16" s="48"/>
      <c r="W16" s="45"/>
      <c r="X16" s="76"/>
      <c r="Y16" s="76"/>
      <c r="Z16" s="76"/>
      <c r="AA16" s="76"/>
      <c r="AB16" s="76"/>
      <c r="AC16" s="76"/>
      <c r="AD16" s="75"/>
      <c r="AE16" s="7"/>
      <c r="AF16" s="42"/>
    </row>
    <row r="17" spans="1:42" s="7" customFormat="1" ht="15" customHeight="1" x14ac:dyDescent="0.2">
      <c r="A17" s="4"/>
      <c r="C17" s="119"/>
      <c r="D17" s="121"/>
      <c r="E17" s="112">
        <f ca="1">C16+1</f>
        <v>46321</v>
      </c>
      <c r="F17" s="113"/>
      <c r="G17" s="112">
        <f ca="1">E17+1</f>
        <v>46322</v>
      </c>
      <c r="H17" s="113"/>
      <c r="I17" s="112">
        <f ca="1">G17+1</f>
        <v>46323</v>
      </c>
      <c r="J17" s="113"/>
      <c r="K17" s="112">
        <f ca="1">I17+1</f>
        <v>46324</v>
      </c>
      <c r="L17" s="114"/>
      <c r="M17" s="114"/>
      <c r="N17" s="50"/>
      <c r="O17" s="112">
        <f ca="1">K17+1</f>
        <v>46325</v>
      </c>
      <c r="P17" s="114"/>
      <c r="Q17" s="114"/>
      <c r="R17" s="114"/>
      <c r="S17" s="114"/>
      <c r="T17" s="114"/>
      <c r="U17" s="114"/>
      <c r="V17" s="113"/>
      <c r="W17" s="112">
        <f ca="1">O17+1</f>
        <v>46326</v>
      </c>
      <c r="X17" s="114"/>
      <c r="Y17" s="114"/>
      <c r="Z17" s="114"/>
      <c r="AA17" s="114"/>
      <c r="AB17" s="114"/>
      <c r="AC17" s="114"/>
      <c r="AD17" s="113"/>
      <c r="AF17" s="4"/>
    </row>
    <row r="18" spans="1:42" s="43" customFormat="1" ht="149.65" customHeight="1" x14ac:dyDescent="0.2">
      <c r="A18" s="42"/>
      <c r="C18" s="151" t="s">
        <v>60</v>
      </c>
      <c r="D18" s="152"/>
      <c r="E18" s="147" t="s">
        <v>44</v>
      </c>
      <c r="F18" s="149"/>
      <c r="G18" s="151" t="s">
        <v>45</v>
      </c>
      <c r="H18" s="152"/>
      <c r="I18" s="151" t="s">
        <v>51</v>
      </c>
      <c r="J18" s="152"/>
      <c r="K18" s="155" t="s">
        <v>34</v>
      </c>
      <c r="L18" s="148"/>
      <c r="M18" s="148"/>
      <c r="N18" s="82"/>
      <c r="O18" s="151" t="s">
        <v>52</v>
      </c>
      <c r="P18" s="154"/>
      <c r="Q18" s="154"/>
      <c r="R18" s="154"/>
      <c r="S18" s="154"/>
      <c r="T18" s="154"/>
      <c r="U18" s="154"/>
      <c r="V18" s="152"/>
      <c r="W18" s="147"/>
      <c r="X18" s="148"/>
      <c r="Y18" s="148"/>
      <c r="Z18" s="148"/>
      <c r="AA18" s="148"/>
      <c r="AB18" s="148"/>
      <c r="AC18" s="148"/>
      <c r="AD18" s="149"/>
      <c r="AE18" s="7"/>
      <c r="AF18" s="42"/>
      <c r="AP18" s="3"/>
    </row>
    <row r="19" spans="1:42" s="43" customFormat="1" ht="9.9499999999999993" customHeight="1" x14ac:dyDescent="0.2">
      <c r="A19" s="42"/>
      <c r="C19" s="119">
        <f ca="1">W17+1</f>
        <v>46327</v>
      </c>
      <c r="D19" s="121"/>
      <c r="E19" s="45"/>
      <c r="F19" s="75"/>
      <c r="G19" s="45"/>
      <c r="H19" s="75"/>
      <c r="I19" s="47"/>
      <c r="J19" s="48"/>
      <c r="K19" s="47"/>
      <c r="L19" s="49"/>
      <c r="M19" s="49"/>
      <c r="N19" s="48"/>
      <c r="O19" s="47"/>
      <c r="P19" s="49"/>
      <c r="Q19" s="49"/>
      <c r="R19" s="49"/>
      <c r="S19" s="49"/>
      <c r="T19" s="49"/>
      <c r="U19" s="49"/>
      <c r="V19" s="48"/>
      <c r="W19" s="45"/>
      <c r="X19" s="76"/>
      <c r="Y19" s="76"/>
      <c r="Z19" s="76"/>
      <c r="AA19" s="76"/>
      <c r="AB19" s="76"/>
      <c r="AC19" s="76"/>
      <c r="AD19" s="75"/>
      <c r="AE19" s="7"/>
      <c r="AF19" s="42"/>
    </row>
    <row r="20" spans="1:42" s="7" customFormat="1" ht="15" customHeight="1" x14ac:dyDescent="0.2">
      <c r="A20" s="4"/>
      <c r="C20" s="119"/>
      <c r="D20" s="121"/>
      <c r="E20" s="112">
        <f ca="1">C19+1</f>
        <v>46328</v>
      </c>
      <c r="F20" s="113"/>
      <c r="G20" s="112">
        <f ca="1">E20+1</f>
        <v>46329</v>
      </c>
      <c r="H20" s="113"/>
      <c r="I20" s="112">
        <f ca="1">G20+1</f>
        <v>46330</v>
      </c>
      <c r="J20" s="113"/>
      <c r="K20" s="112">
        <f ca="1">I20+1</f>
        <v>46331</v>
      </c>
      <c r="L20" s="114"/>
      <c r="M20" s="114"/>
      <c r="N20" s="50"/>
      <c r="O20" s="112">
        <f ca="1">K20+1</f>
        <v>46332</v>
      </c>
      <c r="P20" s="114"/>
      <c r="Q20" s="114"/>
      <c r="R20" s="114"/>
      <c r="S20" s="114"/>
      <c r="T20" s="114"/>
      <c r="U20" s="114"/>
      <c r="V20" s="113"/>
      <c r="W20" s="112">
        <f ca="1">O20+1</f>
        <v>46333</v>
      </c>
      <c r="X20" s="114"/>
      <c r="Y20" s="114"/>
      <c r="Z20" s="114"/>
      <c r="AA20" s="114"/>
      <c r="AB20" s="114"/>
      <c r="AC20" s="114"/>
      <c r="AD20" s="113"/>
      <c r="AF20" s="4"/>
    </row>
    <row r="21" spans="1:42" s="43" customFormat="1" ht="7.5" customHeight="1" x14ac:dyDescent="0.2">
      <c r="A21" s="42"/>
      <c r="C21" s="122"/>
      <c r="D21" s="123"/>
      <c r="E21" s="122"/>
      <c r="F21" s="123"/>
      <c r="G21" s="122"/>
      <c r="H21" s="123"/>
      <c r="I21" s="122"/>
      <c r="J21" s="123"/>
      <c r="K21" s="122"/>
      <c r="L21" s="139"/>
      <c r="M21" s="139"/>
      <c r="N21" s="44"/>
      <c r="O21" s="122"/>
      <c r="P21" s="139"/>
      <c r="Q21" s="139"/>
      <c r="R21" s="139"/>
      <c r="S21" s="139"/>
      <c r="T21" s="139"/>
      <c r="U21" s="139"/>
      <c r="V21" s="123"/>
      <c r="W21" s="122"/>
      <c r="X21" s="139"/>
      <c r="Y21" s="139"/>
      <c r="Z21" s="139"/>
      <c r="AA21" s="139"/>
      <c r="AB21" s="139"/>
      <c r="AC21" s="139"/>
      <c r="AD21" s="123"/>
      <c r="AE21" s="7"/>
      <c r="AF21" s="42"/>
      <c r="AP21" s="3"/>
    </row>
    <row r="22" spans="1:42" s="7" customFormat="1" ht="24.95" customHeight="1" x14ac:dyDescent="0.2">
      <c r="A22" s="4"/>
      <c r="C22" s="52"/>
      <c r="D22" s="52"/>
      <c r="E22" s="52"/>
      <c r="F22" s="52"/>
      <c r="G22" s="53"/>
      <c r="H22" s="54"/>
      <c r="I22" s="54"/>
      <c r="J22" s="54"/>
      <c r="K22" s="54"/>
      <c r="L22" s="54"/>
      <c r="M22" s="54"/>
      <c r="N22" s="54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F22" s="4"/>
    </row>
    <row r="23" spans="1:42" s="7" customFormat="1" ht="24.95" customHeight="1" x14ac:dyDescent="0.2">
      <c r="A23" s="4"/>
      <c r="B23" s="4"/>
      <c r="C23" s="56"/>
      <c r="D23" s="56"/>
      <c r="E23" s="56"/>
      <c r="F23" s="56"/>
      <c r="G23" s="57"/>
      <c r="H23" s="58"/>
      <c r="I23" s="58"/>
      <c r="J23" s="58"/>
      <c r="K23" s="58"/>
      <c r="L23" s="58"/>
      <c r="M23" s="58"/>
      <c r="N23" s="58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4"/>
      <c r="AF23" s="4"/>
    </row>
    <row r="24" spans="1:42" ht="24.95" customHeight="1" x14ac:dyDescent="0.2">
      <c r="A24" s="1"/>
      <c r="M24" s="1"/>
      <c r="AF24" s="1"/>
    </row>
    <row r="25" spans="1:42" ht="20.100000000000001" customHeight="1" x14ac:dyDescent="0.2">
      <c r="A25" s="1"/>
      <c r="C25" s="140" t="s">
        <v>0</v>
      </c>
      <c r="D25" s="140"/>
      <c r="E25" s="140"/>
      <c r="F25" s="140"/>
      <c r="G25" s="140"/>
      <c r="H25" s="140"/>
      <c r="I25" s="140"/>
      <c r="J25" s="140"/>
      <c r="K25" s="140"/>
      <c r="L25" s="60"/>
      <c r="M25" s="1"/>
      <c r="O25" s="141">
        <f ca="1">DATE(YEAR(C2),MONTH(C2)-1,1)</f>
        <v>46266</v>
      </c>
      <c r="P25" s="141"/>
      <c r="Q25" s="141"/>
      <c r="R25" s="141"/>
      <c r="S25" s="141"/>
      <c r="T25" s="141"/>
      <c r="U25" s="141"/>
      <c r="V25" s="61"/>
      <c r="W25" s="61"/>
      <c r="X25" s="141">
        <f ca="1">DATE(YEAR(C2),MONTH(C2)+1,1)</f>
        <v>46327</v>
      </c>
      <c r="Y25" s="141"/>
      <c r="Z25" s="141"/>
      <c r="AA25" s="141"/>
      <c r="AB25" s="141"/>
      <c r="AC25" s="141"/>
      <c r="AD25" s="141"/>
      <c r="AF25" s="1"/>
    </row>
    <row r="26" spans="1:42" ht="15" customHeight="1" x14ac:dyDescent="0.2">
      <c r="A26" s="1"/>
      <c r="C26" s="140"/>
      <c r="D26" s="140"/>
      <c r="E26" s="140"/>
      <c r="F26" s="140"/>
      <c r="G26" s="140"/>
      <c r="H26" s="140"/>
      <c r="I26" s="140"/>
      <c r="J26" s="140"/>
      <c r="K26" s="140"/>
      <c r="L26" s="60"/>
      <c r="M26" s="1"/>
      <c r="O26" s="62" t="str">
        <f>INDEX({"S";"M";"T";"W";"T";"F";"S"},1+MOD(start_day+1-2,7))</f>
        <v>S</v>
      </c>
      <c r="P26" s="62" t="str">
        <f>INDEX({"S";"M";"T";"W";"T";"F";"S"},1+MOD(start_day+2-2,7))</f>
        <v>M</v>
      </c>
      <c r="Q26" s="62" t="str">
        <f>INDEX({"S";"M";"T";"W";"T";"F";"S"},1+MOD(start_day+3-2,7))</f>
        <v>T</v>
      </c>
      <c r="R26" s="62" t="str">
        <f>INDEX({"S";"M";"T";"W";"T";"F";"S"},1+MOD(start_day+4-2,7))</f>
        <v>W</v>
      </c>
      <c r="S26" s="62" t="str">
        <f>INDEX({"S";"M";"T";"W";"T";"F";"S"},1+MOD(start_day+5-2,7))</f>
        <v>T</v>
      </c>
      <c r="T26" s="62" t="str">
        <f>INDEX({"S";"M";"T";"W";"T";"F";"S"},1+MOD(start_day+6-2,7))</f>
        <v>F</v>
      </c>
      <c r="U26" s="62" t="str">
        <f>INDEX({"S";"M";"T";"W";"T";"F";"S"},1+MOD(start_day+7-2,7))</f>
        <v>S</v>
      </c>
      <c r="V26" s="63"/>
      <c r="W26" s="63"/>
      <c r="X26" s="62" t="str">
        <f>INDEX({"S";"M";"T";"W";"T";"F";"S"},1+MOD(start_day+1-2,7))</f>
        <v>S</v>
      </c>
      <c r="Y26" s="62" t="str">
        <f>INDEX({"S";"M";"T";"W";"T";"F";"S"},1+MOD(start_day+2-2,7))</f>
        <v>M</v>
      </c>
      <c r="Z26" s="62" t="str">
        <f>INDEX({"S";"M";"T";"W";"T";"F";"S"},1+MOD(start_day+3-2,7))</f>
        <v>T</v>
      </c>
      <c r="AA26" s="62" t="str">
        <f>INDEX({"S";"M";"T";"W";"T";"F";"S"},1+MOD(start_day+4-2,7))</f>
        <v>W</v>
      </c>
      <c r="AB26" s="62" t="str">
        <f>INDEX({"S";"M";"T";"W";"T";"F";"S"},1+MOD(start_day+5-2,7))</f>
        <v>T</v>
      </c>
      <c r="AC26" s="62" t="str">
        <f>INDEX({"S";"M";"T";"W";"T";"F";"S"},1+MOD(start_day+6-2,7))</f>
        <v>F</v>
      </c>
      <c r="AD26" s="62" t="str">
        <f>INDEX({"S";"M";"T";"W";"T";"F";"S"},1+MOD(start_day+7-2,7))</f>
        <v>S</v>
      </c>
      <c r="AF26" s="1"/>
    </row>
    <row r="27" spans="1:42" ht="15" customHeight="1" x14ac:dyDescent="0.2">
      <c r="A27" s="1"/>
      <c r="C27" s="116"/>
      <c r="D27" s="116"/>
      <c r="E27" s="116"/>
      <c r="F27" s="116"/>
      <c r="G27" s="116"/>
      <c r="H27" s="116"/>
      <c r="I27" s="116"/>
      <c r="J27" s="116"/>
      <c r="K27" s="116"/>
      <c r="M27" s="1"/>
      <c r="O27" s="64" t="str">
        <f t="shared" ref="O27:U32" ca="1" si="0"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65" t="str">
        <f t="shared" ca="1" si="0"/>
        <v/>
      </c>
      <c r="Q27" s="65">
        <f t="shared" ca="1" si="0"/>
        <v>46266</v>
      </c>
      <c r="R27" s="65">
        <f t="shared" ca="1" si="0"/>
        <v>46267</v>
      </c>
      <c r="S27" s="65">
        <f t="shared" ca="1" si="0"/>
        <v>46268</v>
      </c>
      <c r="T27" s="65">
        <f t="shared" ca="1" si="0"/>
        <v>46269</v>
      </c>
      <c r="U27" s="64">
        <f t="shared" ca="1" si="0"/>
        <v>46270</v>
      </c>
      <c r="V27" s="61"/>
      <c r="W27" s="61"/>
      <c r="X27" s="65">
        <f t="shared" ref="X27:AD32" ca="1" si="1"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>46327</v>
      </c>
      <c r="Y27" s="65">
        <f t="shared" ca="1" si="1"/>
        <v>46328</v>
      </c>
      <c r="Z27" s="65">
        <f t="shared" ca="1" si="1"/>
        <v>46329</v>
      </c>
      <c r="AA27" s="65">
        <f t="shared" ca="1" si="1"/>
        <v>46330</v>
      </c>
      <c r="AB27" s="65">
        <f t="shared" ca="1" si="1"/>
        <v>46331</v>
      </c>
      <c r="AC27" s="65">
        <f t="shared" ca="1" si="1"/>
        <v>46332</v>
      </c>
      <c r="AD27" s="64">
        <f t="shared" ca="1" si="1"/>
        <v>46333</v>
      </c>
      <c r="AF27" s="1"/>
    </row>
    <row r="28" spans="1:42" ht="15" customHeight="1" x14ac:dyDescent="0.2">
      <c r="A28" s="1"/>
      <c r="C28" s="115"/>
      <c r="D28" s="115"/>
      <c r="E28" s="115"/>
      <c r="F28" s="115"/>
      <c r="G28" s="115"/>
      <c r="H28" s="115"/>
      <c r="I28" s="115"/>
      <c r="J28" s="115"/>
      <c r="K28" s="115"/>
      <c r="M28" s="1"/>
      <c r="O28" s="64">
        <f t="shared" ca="1" si="0"/>
        <v>46271</v>
      </c>
      <c r="P28" s="65">
        <f t="shared" ca="1" si="0"/>
        <v>46272</v>
      </c>
      <c r="Q28" s="65">
        <f t="shared" ca="1" si="0"/>
        <v>46273</v>
      </c>
      <c r="R28" s="65">
        <f t="shared" ca="1" si="0"/>
        <v>46274</v>
      </c>
      <c r="S28" s="65">
        <f t="shared" ca="1" si="0"/>
        <v>46275</v>
      </c>
      <c r="T28" s="65">
        <f t="shared" ca="1" si="0"/>
        <v>46276</v>
      </c>
      <c r="U28" s="64">
        <f t="shared" ca="1" si="0"/>
        <v>46277</v>
      </c>
      <c r="V28" s="61"/>
      <c r="W28" s="61"/>
      <c r="X28" s="64">
        <f t="shared" ca="1" si="1"/>
        <v>46334</v>
      </c>
      <c r="Y28" s="65">
        <f t="shared" ca="1" si="1"/>
        <v>46335</v>
      </c>
      <c r="Z28" s="65">
        <f t="shared" ca="1" si="1"/>
        <v>46336</v>
      </c>
      <c r="AA28" s="65">
        <f t="shared" ca="1" si="1"/>
        <v>46337</v>
      </c>
      <c r="AB28" s="65">
        <f t="shared" ca="1" si="1"/>
        <v>46338</v>
      </c>
      <c r="AC28" s="65">
        <f t="shared" ca="1" si="1"/>
        <v>46339</v>
      </c>
      <c r="AD28" s="64">
        <f t="shared" ca="1" si="1"/>
        <v>46340</v>
      </c>
      <c r="AF28" s="1"/>
    </row>
    <row r="29" spans="1:42" ht="15" customHeight="1" x14ac:dyDescent="0.2">
      <c r="A29" s="1"/>
      <c r="C29" s="116"/>
      <c r="D29" s="116"/>
      <c r="E29" s="116"/>
      <c r="F29" s="116"/>
      <c r="G29" s="116"/>
      <c r="H29" s="116"/>
      <c r="I29" s="116"/>
      <c r="J29" s="116"/>
      <c r="K29" s="116"/>
      <c r="M29" s="1"/>
      <c r="O29" s="64">
        <f t="shared" ca="1" si="0"/>
        <v>46278</v>
      </c>
      <c r="P29" s="65">
        <f t="shared" ca="1" si="0"/>
        <v>46279</v>
      </c>
      <c r="Q29" s="65">
        <f t="shared" ca="1" si="0"/>
        <v>46280</v>
      </c>
      <c r="R29" s="65">
        <f t="shared" ca="1" si="0"/>
        <v>46281</v>
      </c>
      <c r="S29" s="65">
        <f t="shared" ca="1" si="0"/>
        <v>46282</v>
      </c>
      <c r="T29" s="65">
        <f t="shared" ca="1" si="0"/>
        <v>46283</v>
      </c>
      <c r="U29" s="64">
        <f t="shared" ca="1" si="0"/>
        <v>46284</v>
      </c>
      <c r="V29" s="61"/>
      <c r="W29" s="61"/>
      <c r="X29" s="64">
        <f t="shared" ca="1" si="1"/>
        <v>46341</v>
      </c>
      <c r="Y29" s="65">
        <f t="shared" ca="1" si="1"/>
        <v>46342</v>
      </c>
      <c r="Z29" s="65">
        <f t="shared" ca="1" si="1"/>
        <v>46343</v>
      </c>
      <c r="AA29" s="65">
        <f t="shared" ca="1" si="1"/>
        <v>46344</v>
      </c>
      <c r="AB29" s="65">
        <f t="shared" ca="1" si="1"/>
        <v>46345</v>
      </c>
      <c r="AC29" s="65">
        <f t="shared" ca="1" si="1"/>
        <v>46346</v>
      </c>
      <c r="AD29" s="64">
        <f t="shared" ca="1" si="1"/>
        <v>46347</v>
      </c>
      <c r="AF29" s="1"/>
    </row>
    <row r="30" spans="1:42" ht="15" customHeight="1" x14ac:dyDescent="0.2">
      <c r="A30" s="1"/>
      <c r="C30" s="115"/>
      <c r="D30" s="115"/>
      <c r="E30" s="115"/>
      <c r="F30" s="115"/>
      <c r="G30" s="115"/>
      <c r="H30" s="115"/>
      <c r="I30" s="115"/>
      <c r="J30" s="115"/>
      <c r="K30" s="115"/>
      <c r="M30" s="1"/>
      <c r="O30" s="64">
        <f t="shared" ca="1" si="0"/>
        <v>46285</v>
      </c>
      <c r="P30" s="65">
        <f t="shared" ca="1" si="0"/>
        <v>46286</v>
      </c>
      <c r="Q30" s="65">
        <f t="shared" ca="1" si="0"/>
        <v>46287</v>
      </c>
      <c r="R30" s="65">
        <f t="shared" ca="1" si="0"/>
        <v>46288</v>
      </c>
      <c r="S30" s="65">
        <f t="shared" ca="1" si="0"/>
        <v>46289</v>
      </c>
      <c r="T30" s="65">
        <f t="shared" ca="1" si="0"/>
        <v>46290</v>
      </c>
      <c r="U30" s="64">
        <f t="shared" ca="1" si="0"/>
        <v>46291</v>
      </c>
      <c r="V30" s="61"/>
      <c r="W30" s="61"/>
      <c r="X30" s="64">
        <f t="shared" ca="1" si="1"/>
        <v>46348</v>
      </c>
      <c r="Y30" s="65">
        <f t="shared" ca="1" si="1"/>
        <v>46349</v>
      </c>
      <c r="Z30" s="65">
        <f t="shared" ca="1" si="1"/>
        <v>46350</v>
      </c>
      <c r="AA30" s="65">
        <f t="shared" ca="1" si="1"/>
        <v>46351</v>
      </c>
      <c r="AB30" s="65">
        <f t="shared" ca="1" si="1"/>
        <v>46352</v>
      </c>
      <c r="AC30" s="65">
        <f t="shared" ca="1" si="1"/>
        <v>46353</v>
      </c>
      <c r="AD30" s="64">
        <f t="shared" ca="1" si="1"/>
        <v>46354</v>
      </c>
      <c r="AF30" s="1"/>
    </row>
    <row r="31" spans="1:42" ht="15" customHeight="1" x14ac:dyDescent="0.2">
      <c r="A31" s="1"/>
      <c r="C31" s="116"/>
      <c r="D31" s="116"/>
      <c r="E31" s="116"/>
      <c r="F31" s="116"/>
      <c r="G31" s="116"/>
      <c r="H31" s="116"/>
      <c r="I31" s="116"/>
      <c r="J31" s="116"/>
      <c r="K31" s="116"/>
      <c r="M31" s="1"/>
      <c r="O31" s="64">
        <f t="shared" ca="1" si="0"/>
        <v>46292</v>
      </c>
      <c r="P31" s="65">
        <f t="shared" ca="1" si="0"/>
        <v>46293</v>
      </c>
      <c r="Q31" s="65">
        <f t="shared" ca="1" si="0"/>
        <v>46294</v>
      </c>
      <c r="R31" s="65">
        <f t="shared" ca="1" si="0"/>
        <v>46295</v>
      </c>
      <c r="S31" s="65" t="str">
        <f t="shared" ca="1" si="0"/>
        <v/>
      </c>
      <c r="T31" s="65" t="str">
        <f t="shared" ca="1" si="0"/>
        <v/>
      </c>
      <c r="U31" s="64" t="str">
        <f t="shared" ca="1" si="0"/>
        <v/>
      </c>
      <c r="V31" s="61"/>
      <c r="W31" s="61"/>
      <c r="X31" s="64">
        <f t="shared" ca="1" si="1"/>
        <v>46355</v>
      </c>
      <c r="Y31" s="65">
        <f t="shared" ca="1" si="1"/>
        <v>46356</v>
      </c>
      <c r="Z31" s="65" t="str">
        <f t="shared" ca="1" si="1"/>
        <v/>
      </c>
      <c r="AA31" s="65" t="str">
        <f t="shared" ca="1" si="1"/>
        <v/>
      </c>
      <c r="AB31" s="65" t="str">
        <f t="shared" ca="1" si="1"/>
        <v/>
      </c>
      <c r="AC31" s="65" t="str">
        <f t="shared" ca="1" si="1"/>
        <v/>
      </c>
      <c r="AD31" s="65" t="str">
        <f t="shared" ca="1" si="1"/>
        <v/>
      </c>
      <c r="AF31" s="1"/>
    </row>
    <row r="32" spans="1:42" x14ac:dyDescent="0.2">
      <c r="A32" s="1"/>
      <c r="M32" s="1"/>
      <c r="O32" s="64" t="str">
        <f t="shared" ca="1" si="0"/>
        <v/>
      </c>
      <c r="P32" s="65" t="str">
        <f t="shared" ca="1" si="0"/>
        <v/>
      </c>
      <c r="Q32" s="65" t="str">
        <f t="shared" ca="1" si="0"/>
        <v/>
      </c>
      <c r="R32" s="65" t="str">
        <f t="shared" ca="1" si="0"/>
        <v/>
      </c>
      <c r="S32" s="65" t="str">
        <f t="shared" ca="1" si="0"/>
        <v/>
      </c>
      <c r="T32" s="65" t="str">
        <f t="shared" ca="1" si="0"/>
        <v/>
      </c>
      <c r="U32" s="64" t="str">
        <f t="shared" ca="1" si="0"/>
        <v/>
      </c>
      <c r="V32" s="61"/>
      <c r="W32" s="61"/>
      <c r="X32" s="64" t="str">
        <f t="shared" ca="1" si="1"/>
        <v/>
      </c>
      <c r="Y32" s="65" t="str">
        <f t="shared" ca="1" si="1"/>
        <v/>
      </c>
      <c r="Z32" s="65" t="str">
        <f t="shared" ca="1" si="1"/>
        <v/>
      </c>
      <c r="AA32" s="65" t="str">
        <f t="shared" ca="1" si="1"/>
        <v/>
      </c>
      <c r="AB32" s="65" t="str">
        <f t="shared" ca="1" si="1"/>
        <v/>
      </c>
      <c r="AC32" s="65" t="str">
        <f t="shared" ca="1" si="1"/>
        <v/>
      </c>
      <c r="AD32" s="65" t="str">
        <f t="shared" ca="1" si="1"/>
        <v/>
      </c>
      <c r="AF32" s="1"/>
    </row>
    <row r="33" spans="1:32" x14ac:dyDescent="0.2">
      <c r="A33" s="1"/>
      <c r="M33" s="1"/>
      <c r="O33" s="64"/>
      <c r="P33" s="65"/>
      <c r="Q33" s="65"/>
      <c r="R33" s="65"/>
      <c r="S33" s="65"/>
      <c r="T33" s="65"/>
      <c r="U33" s="64"/>
      <c r="V33" s="61"/>
      <c r="W33" s="61"/>
      <c r="X33" s="64"/>
      <c r="Y33" s="65"/>
      <c r="Z33" s="65"/>
      <c r="AA33" s="65"/>
      <c r="AB33" s="65"/>
      <c r="AC33" s="65"/>
      <c r="AD33" s="65"/>
      <c r="AF33" s="1"/>
    </row>
    <row r="34" spans="1:32" ht="24.9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8" spans="1:32" ht="13.5" thickBot="1" x14ac:dyDescent="0.25"/>
    <row r="39" spans="1:32" ht="12.6" customHeight="1" x14ac:dyDescent="0.2">
      <c r="D39" s="84" t="s">
        <v>23</v>
      </c>
      <c r="E39" s="85"/>
      <c r="F39" s="86"/>
      <c r="G39" s="90">
        <f ca="1">ROUNDDOWN((DATE(2026,11,13)-TODAY())/7,0)</f>
        <v>4</v>
      </c>
      <c r="H39" s="91"/>
      <c r="I39" s="84" t="s">
        <v>26</v>
      </c>
      <c r="J39" s="98"/>
      <c r="K39" s="94" t="s">
        <v>24</v>
      </c>
      <c r="L39" s="95"/>
      <c r="M39" s="106">
        <f ca="1">7*(((DATE(2026,11,13)-TODAY())/7)-ROUNDDOWN((DATE(2026,11,13)-TODAY())/7,0))</f>
        <v>5.0000000000000009</v>
      </c>
      <c r="N39" s="107"/>
      <c r="O39" s="107"/>
      <c r="P39" s="107"/>
      <c r="Q39" s="107"/>
      <c r="R39" s="108"/>
      <c r="S39" s="100" t="s">
        <v>25</v>
      </c>
      <c r="T39" s="101"/>
      <c r="U39" s="101"/>
      <c r="V39" s="101"/>
      <c r="W39" s="101"/>
      <c r="X39" s="102"/>
    </row>
    <row r="40" spans="1:32" ht="12.95" customHeight="1" thickBot="1" x14ac:dyDescent="0.25">
      <c r="D40" s="87"/>
      <c r="E40" s="88"/>
      <c r="F40" s="89"/>
      <c r="G40" s="92"/>
      <c r="H40" s="93"/>
      <c r="I40" s="87"/>
      <c r="J40" s="99"/>
      <c r="K40" s="96"/>
      <c r="L40" s="97"/>
      <c r="M40" s="109"/>
      <c r="N40" s="110"/>
      <c r="O40" s="110"/>
      <c r="P40" s="110"/>
      <c r="Q40" s="110"/>
      <c r="R40" s="111"/>
      <c r="S40" s="103"/>
      <c r="T40" s="104"/>
      <c r="U40" s="104"/>
      <c r="V40" s="104"/>
      <c r="W40" s="104"/>
      <c r="X40" s="105"/>
    </row>
  </sheetData>
  <mergeCells count="110">
    <mergeCell ref="W18:AD18"/>
    <mergeCell ref="C25:K26"/>
    <mergeCell ref="O25:U25"/>
    <mergeCell ref="X25:AD25"/>
    <mergeCell ref="C27:K27"/>
    <mergeCell ref="C28:K29"/>
    <mergeCell ref="C18:D18"/>
    <mergeCell ref="E18:F18"/>
    <mergeCell ref="G18:H18"/>
    <mergeCell ref="I18:J18"/>
    <mergeCell ref="K18:M18"/>
    <mergeCell ref="O18:V18"/>
    <mergeCell ref="C19:D20"/>
    <mergeCell ref="E20:F20"/>
    <mergeCell ref="G20:H20"/>
    <mergeCell ref="I20:J20"/>
    <mergeCell ref="K20:M20"/>
    <mergeCell ref="O20:V20"/>
    <mergeCell ref="W20:AD20"/>
    <mergeCell ref="C21:D21"/>
    <mergeCell ref="E21:F21"/>
    <mergeCell ref="G21:H21"/>
    <mergeCell ref="I21:J21"/>
    <mergeCell ref="W15:AD15"/>
    <mergeCell ref="C16:D17"/>
    <mergeCell ref="E17:F17"/>
    <mergeCell ref="G17:H17"/>
    <mergeCell ref="I17:J17"/>
    <mergeCell ref="K17:M17"/>
    <mergeCell ref="O17:V17"/>
    <mergeCell ref="W17:AD17"/>
    <mergeCell ref="C15:D15"/>
    <mergeCell ref="E15:F15"/>
    <mergeCell ref="G15:H15"/>
    <mergeCell ref="I15:J15"/>
    <mergeCell ref="O15:V15"/>
    <mergeCell ref="K15:N15"/>
    <mergeCell ref="W12:AD12"/>
    <mergeCell ref="C13:D14"/>
    <mergeCell ref="E14:F14"/>
    <mergeCell ref="G14:H14"/>
    <mergeCell ref="I14:J14"/>
    <mergeCell ref="K14:M14"/>
    <mergeCell ref="O14:V14"/>
    <mergeCell ref="W14:AD14"/>
    <mergeCell ref="C12:D12"/>
    <mergeCell ref="E12:F12"/>
    <mergeCell ref="G12:H12"/>
    <mergeCell ref="I12:J12"/>
    <mergeCell ref="O12:V12"/>
    <mergeCell ref="K12:N12"/>
    <mergeCell ref="W9:AD9"/>
    <mergeCell ref="C10:D11"/>
    <mergeCell ref="E11:F11"/>
    <mergeCell ref="G11:H11"/>
    <mergeCell ref="I11:J11"/>
    <mergeCell ref="K11:M11"/>
    <mergeCell ref="O11:V11"/>
    <mergeCell ref="W11:AD11"/>
    <mergeCell ref="C9:D9"/>
    <mergeCell ref="E9:F9"/>
    <mergeCell ref="G9:H9"/>
    <mergeCell ref="I9:J9"/>
    <mergeCell ref="O9:V9"/>
    <mergeCell ref="K9:N9"/>
    <mergeCell ref="C7:D8"/>
    <mergeCell ref="E7:F7"/>
    <mergeCell ref="G7:H7"/>
    <mergeCell ref="I7:J7"/>
    <mergeCell ref="K7:M7"/>
    <mergeCell ref="W7:AD7"/>
    <mergeCell ref="E8:F8"/>
    <mergeCell ref="G8:H8"/>
    <mergeCell ref="I8:J8"/>
    <mergeCell ref="K8:M8"/>
    <mergeCell ref="O8:V8"/>
    <mergeCell ref="W8:AD8"/>
    <mergeCell ref="O7:V7"/>
    <mergeCell ref="C6:D6"/>
    <mergeCell ref="E6:F6"/>
    <mergeCell ref="G6:H6"/>
    <mergeCell ref="I6:J6"/>
    <mergeCell ref="O6:V6"/>
    <mergeCell ref="W6:AD6"/>
    <mergeCell ref="C5:D5"/>
    <mergeCell ref="E5:F5"/>
    <mergeCell ref="G5:H5"/>
    <mergeCell ref="I5:J5"/>
    <mergeCell ref="K5:M5"/>
    <mergeCell ref="O5:V5"/>
    <mergeCell ref="K6:N6"/>
    <mergeCell ref="C2:AD2"/>
    <mergeCell ref="C4:D4"/>
    <mergeCell ref="E4:F4"/>
    <mergeCell ref="G4:H4"/>
    <mergeCell ref="I4:J4"/>
    <mergeCell ref="K4:M4"/>
    <mergeCell ref="O4:V4"/>
    <mergeCell ref="W4:AD4"/>
    <mergeCell ref="W5:AD5"/>
    <mergeCell ref="D39:F40"/>
    <mergeCell ref="G39:H40"/>
    <mergeCell ref="I39:J40"/>
    <mergeCell ref="K39:L40"/>
    <mergeCell ref="M39:R40"/>
    <mergeCell ref="S39:X40"/>
    <mergeCell ref="K21:M21"/>
    <mergeCell ref="O21:V21"/>
    <mergeCell ref="W21:AD21"/>
    <mergeCell ref="C30:K31"/>
  </mergeCells>
  <conditionalFormatting sqref="C5 E5 G5 I5 K5:L5 O5 W5 C7 E8 G8 I8 K8:L8 O8 W8 C10 E11 G11 I11 K11:L11 O11 W11 C13 E14 G14 I14 K14:L14 O14 W14 C16 E17 G17 I17 K17:L17 O17 W17">
    <cfRule type="expression" dxfId="7" priority="3">
      <formula>MONTH(C5)&lt;&gt;MONTH($C$2)</formula>
    </cfRule>
    <cfRule type="expression" dxfId="6" priority="4">
      <formula>OR(WEEKDAY(C5,1)=1,WEEKDAY(C5,1)=7)</formula>
    </cfRule>
  </conditionalFormatting>
  <conditionalFormatting sqref="C19 E20 G20 I20 K20:L20 O20 W20">
    <cfRule type="expression" dxfId="5" priority="1">
      <formula>MONTH(C19)&lt;&gt;MONTH($C$2)</formula>
    </cfRule>
    <cfRule type="expression" dxfId="4" priority="2">
      <formula>OR(WEEKDAY(C19,1)=1,WEEKDAY(C19,1)=7)</formula>
    </cfRule>
  </conditionalFormatting>
  <dataValidations count="7">
    <dataValidation allowBlank="1" showInputMessage="1" showErrorMessage="1" prompt="Next month calendar" sqref="X25:AD25" xr:uid="{9A4F69A1-B6CF-468A-A22F-C2FC67281CA2}"/>
    <dataValidation allowBlank="1" showInputMessage="1" showErrorMessage="1" prompt="Previous month calendar" sqref="O25:U25" xr:uid="{F4A2D377-B993-4056-B5F9-A51DF70C50DD}"/>
    <dataValidation allowBlank="1" showInputMessage="1" showErrorMessage="1" prompt="Enter monthly notes in cells C24 to K28" sqref="C25:K26" xr:uid="{D21CDC1C-BC87-4017-8D83-1A1C0031E638}"/>
    <dataValidation allowBlank="1" showInputMessage="1" showErrorMessage="1" prompt="Enter daily notes below the calendar days, such as this cell" sqref="C6:D6" xr:uid="{95DF00E6-1E13-4B5D-AB7F-DCC5098F9577}"/>
    <dataValidation allowBlank="1" showInputMessage="1" showErrorMessage="1" prompt="To change the starting day of the week, go to cell P12 in About sheet" sqref="C4:D4" xr:uid="{43B2A959-1075-4A33-85FA-47EDDF2BF5AD}"/>
    <dataValidation allowBlank="1" showInputMessage="1" showErrorMessage="1" prompt="Calendar days are automatically updated" sqref="C5:D5" xr:uid="{5D8A2B69-491F-4F41-A6B5-D2526CF0F8BC}"/>
    <dataValidation allowBlank="1" showInputMessage="1" showErrorMessage="1" prompt="To change the calendar year, go to cell P8 in About sheet" sqref="C2:AD2" xr:uid="{CC907FEE-8315-474F-954C-AFAF3FCEC40A}"/>
  </dataValidations>
  <printOptions horizontalCentered="1"/>
  <pageMargins left="0.5" right="0.5" top="0.25" bottom="0.25" header="0.25" footer="0.25"/>
  <pageSetup scale="8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F8DA-2979-4BE5-AF55-2FB3D9E9C532}">
  <sheetPr>
    <pageSetUpPr fitToPage="1"/>
  </sheetPr>
  <dimension ref="A1:AP39"/>
  <sheetViews>
    <sheetView showGridLines="0" zoomScaleNormal="100" workbookViewId="0">
      <selection activeCell="G9" sqref="G9:H9"/>
    </sheetView>
  </sheetViews>
  <sheetFormatPr defaultColWidth="8.7109375" defaultRowHeight="12.75" x14ac:dyDescent="0.2"/>
  <cols>
    <col min="1" max="3" width="5.5703125" style="3" customWidth="1"/>
    <col min="4" max="4" width="15.5703125" style="3" customWidth="1"/>
    <col min="5" max="5" width="5.5703125" style="3" customWidth="1"/>
    <col min="6" max="6" width="15.5703125" style="3" customWidth="1"/>
    <col min="7" max="7" width="5.5703125" style="3" customWidth="1"/>
    <col min="8" max="8" width="15.5703125" style="3" customWidth="1"/>
    <col min="9" max="9" width="5.5703125" style="3" customWidth="1"/>
    <col min="10" max="10" width="15.5703125" style="3" customWidth="1"/>
    <col min="11" max="14" width="5.5703125" style="3" customWidth="1"/>
    <col min="15" max="30" width="2.5703125" style="3" customWidth="1"/>
    <col min="31" max="32" width="5.5703125" style="3" customWidth="1"/>
    <col min="33" max="33" width="17.140625" style="3" customWidth="1"/>
    <col min="34" max="34" width="10.42578125" style="3" customWidth="1"/>
    <col min="35" max="16384" width="8.7109375" style="3"/>
  </cols>
  <sheetData>
    <row r="1" spans="1:36" ht="24.9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s="30" customFormat="1" ht="90" customHeight="1" x14ac:dyDescent="0.8">
      <c r="A2" s="29"/>
      <c r="C2" s="117">
        <f ca="1">DATE(About!P8,11,1)</f>
        <v>46327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F2" s="29"/>
    </row>
    <row r="3" spans="1:36" s="32" customFormat="1" ht="24.95" customHeight="1" x14ac:dyDescent="0.8">
      <c r="A3" s="31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4"/>
      <c r="V3" s="30"/>
      <c r="AF3" s="29"/>
      <c r="AG3" s="30"/>
      <c r="AH3" s="30"/>
      <c r="AI3" s="30"/>
    </row>
    <row r="4" spans="1:36" s="36" customFormat="1" ht="30" customHeight="1" x14ac:dyDescent="0.25">
      <c r="A4" s="35"/>
      <c r="C4" s="118">
        <f ca="1">C5</f>
        <v>46327</v>
      </c>
      <c r="D4" s="118"/>
      <c r="E4" s="118">
        <f ca="1">E5</f>
        <v>46328</v>
      </c>
      <c r="F4" s="118"/>
      <c r="G4" s="118">
        <f ca="1">G5</f>
        <v>46329</v>
      </c>
      <c r="H4" s="118"/>
      <c r="I4" s="118">
        <f ca="1">I5</f>
        <v>46330</v>
      </c>
      <c r="J4" s="118"/>
      <c r="K4" s="118">
        <f ca="1">K5</f>
        <v>46331</v>
      </c>
      <c r="L4" s="118"/>
      <c r="M4" s="118"/>
      <c r="N4" s="37"/>
      <c r="O4" s="118">
        <f ca="1">O5</f>
        <v>46332</v>
      </c>
      <c r="P4" s="118"/>
      <c r="Q4" s="118"/>
      <c r="R4" s="118"/>
      <c r="S4" s="118"/>
      <c r="T4" s="118"/>
      <c r="U4" s="118"/>
      <c r="V4" s="118"/>
      <c r="W4" s="118">
        <f ca="1">W5</f>
        <v>46333</v>
      </c>
      <c r="X4" s="118"/>
      <c r="Y4" s="118"/>
      <c r="Z4" s="118"/>
      <c r="AA4" s="118"/>
      <c r="AB4" s="118"/>
      <c r="AC4" s="118"/>
      <c r="AD4" s="118"/>
      <c r="AF4" s="38"/>
      <c r="AG4" s="39"/>
      <c r="AH4" s="39"/>
      <c r="AI4" s="39"/>
      <c r="AJ4" s="39"/>
    </row>
    <row r="5" spans="1:36" ht="24.95" customHeight="1" x14ac:dyDescent="0.2">
      <c r="A5" s="1"/>
      <c r="C5" s="119">
        <f ca="1">$C$2-(WEEKDAY($C$2,1)-(start_day-1))-IF((WEEKDAY($C$2,1)-(start_day-1))&lt;=0,7,0)+1</f>
        <v>46327</v>
      </c>
      <c r="D5" s="121"/>
      <c r="E5" s="119">
        <f ca="1">C5+1</f>
        <v>46328</v>
      </c>
      <c r="F5" s="121"/>
      <c r="G5" s="119">
        <f ca="1">E5+1</f>
        <v>46329</v>
      </c>
      <c r="H5" s="121"/>
      <c r="I5" s="119">
        <f ca="1">G5+1</f>
        <v>46330</v>
      </c>
      <c r="J5" s="121"/>
      <c r="K5" s="119">
        <f ca="1">I5+1</f>
        <v>46331</v>
      </c>
      <c r="L5" s="120"/>
      <c r="M5" s="120"/>
      <c r="N5" s="74"/>
      <c r="O5" s="119">
        <f ca="1">K5+1</f>
        <v>46332</v>
      </c>
      <c r="P5" s="120"/>
      <c r="Q5" s="120"/>
      <c r="R5" s="120"/>
      <c r="S5" s="120"/>
      <c r="T5" s="120"/>
      <c r="U5" s="120"/>
      <c r="V5" s="121"/>
      <c r="W5" s="119">
        <f ca="1">O5+1</f>
        <v>46333</v>
      </c>
      <c r="X5" s="120"/>
      <c r="Y5" s="120"/>
      <c r="Z5" s="120"/>
      <c r="AA5" s="120"/>
      <c r="AB5" s="120"/>
      <c r="AC5" s="120"/>
      <c r="AD5" s="121"/>
      <c r="AF5" s="40"/>
      <c r="AG5" s="41"/>
      <c r="AH5" s="41"/>
      <c r="AI5" s="41"/>
      <c r="AJ5" s="41"/>
    </row>
    <row r="6" spans="1:36" s="43" customFormat="1" ht="133.9" customHeight="1" x14ac:dyDescent="0.2">
      <c r="A6" s="42"/>
      <c r="C6" s="147"/>
      <c r="D6" s="149"/>
      <c r="E6" s="155" t="s">
        <v>35</v>
      </c>
      <c r="F6" s="149"/>
      <c r="G6" s="147"/>
      <c r="H6" s="149"/>
      <c r="I6" s="156" t="s">
        <v>53</v>
      </c>
      <c r="J6" s="149"/>
      <c r="K6" s="156" t="s">
        <v>54</v>
      </c>
      <c r="L6" s="148"/>
      <c r="M6" s="148"/>
      <c r="N6" s="149"/>
      <c r="O6" s="155" t="s">
        <v>56</v>
      </c>
      <c r="P6" s="148"/>
      <c r="Q6" s="148"/>
      <c r="R6" s="148"/>
      <c r="S6" s="148"/>
      <c r="T6" s="148"/>
      <c r="U6" s="148"/>
      <c r="V6" s="149"/>
      <c r="W6" s="147"/>
      <c r="X6" s="148"/>
      <c r="Y6" s="148"/>
      <c r="Z6" s="148"/>
      <c r="AA6" s="148"/>
      <c r="AB6" s="148"/>
      <c r="AC6" s="148"/>
      <c r="AD6" s="149"/>
      <c r="AE6" s="7"/>
      <c r="AF6" s="42"/>
    </row>
    <row r="7" spans="1:36" ht="9.9499999999999993" customHeight="1" x14ac:dyDescent="0.2">
      <c r="A7" s="1"/>
      <c r="C7" s="157">
        <f ca="1">W5+1</f>
        <v>46334</v>
      </c>
      <c r="D7" s="158"/>
      <c r="E7" s="159"/>
      <c r="F7" s="160"/>
      <c r="G7" s="159"/>
      <c r="H7" s="160"/>
      <c r="I7" s="159"/>
      <c r="J7" s="160"/>
      <c r="K7" s="159"/>
      <c r="L7" s="161"/>
      <c r="M7" s="161"/>
      <c r="N7" s="80"/>
      <c r="O7" s="159"/>
      <c r="P7" s="161"/>
      <c r="Q7" s="161"/>
      <c r="R7" s="161"/>
      <c r="S7" s="161"/>
      <c r="T7" s="161"/>
      <c r="U7" s="161"/>
      <c r="V7" s="160"/>
      <c r="W7" s="159"/>
      <c r="X7" s="161"/>
      <c r="Y7" s="161"/>
      <c r="Z7" s="161"/>
      <c r="AA7" s="161"/>
      <c r="AB7" s="161"/>
      <c r="AC7" s="161"/>
      <c r="AD7" s="160"/>
      <c r="AF7" s="1"/>
    </row>
    <row r="8" spans="1:36" s="7" customFormat="1" ht="15" customHeight="1" x14ac:dyDescent="0.2">
      <c r="A8" s="4"/>
      <c r="C8" s="157"/>
      <c r="D8" s="158"/>
      <c r="E8" s="157">
        <f ca="1">C7+1</f>
        <v>46335</v>
      </c>
      <c r="F8" s="158"/>
      <c r="G8" s="157">
        <f ca="1">E8+1</f>
        <v>46336</v>
      </c>
      <c r="H8" s="158"/>
      <c r="I8" s="157">
        <f ca="1">G8+1</f>
        <v>46337</v>
      </c>
      <c r="J8" s="158"/>
      <c r="K8" s="157">
        <f ca="1">I8+1</f>
        <v>46338</v>
      </c>
      <c r="L8" s="162"/>
      <c r="M8" s="162"/>
      <c r="N8" s="78"/>
      <c r="O8" s="157">
        <f ca="1">K8+1</f>
        <v>46339</v>
      </c>
      <c r="P8" s="162"/>
      <c r="Q8" s="162"/>
      <c r="R8" s="162"/>
      <c r="S8" s="162"/>
      <c r="T8" s="162"/>
      <c r="U8" s="162"/>
      <c r="V8" s="158"/>
      <c r="W8" s="157">
        <f ca="1">O8+1</f>
        <v>46340</v>
      </c>
      <c r="X8" s="162"/>
      <c r="Y8" s="162"/>
      <c r="Z8" s="162"/>
      <c r="AA8" s="162"/>
      <c r="AB8" s="162"/>
      <c r="AC8" s="162"/>
      <c r="AD8" s="158"/>
      <c r="AF8" s="4"/>
    </row>
    <row r="9" spans="1:36" s="43" customFormat="1" ht="146.44999999999999" customHeight="1" x14ac:dyDescent="0.2">
      <c r="A9" s="42"/>
      <c r="C9" s="147"/>
      <c r="D9" s="149"/>
      <c r="E9" s="155" t="s">
        <v>42</v>
      </c>
      <c r="F9" s="149"/>
      <c r="G9" s="156" t="s">
        <v>55</v>
      </c>
      <c r="H9" s="149"/>
      <c r="I9" s="147" t="s">
        <v>43</v>
      </c>
      <c r="J9" s="149"/>
      <c r="K9" s="147" t="s">
        <v>48</v>
      </c>
      <c r="L9" s="148"/>
      <c r="M9" s="148"/>
      <c r="N9" s="149"/>
      <c r="O9" s="164" t="s">
        <v>15</v>
      </c>
      <c r="P9" s="163"/>
      <c r="Q9" s="163"/>
      <c r="R9" s="163"/>
      <c r="S9" s="163"/>
      <c r="T9" s="163"/>
      <c r="U9" s="163"/>
      <c r="V9" s="145"/>
      <c r="W9" s="144"/>
      <c r="X9" s="163"/>
      <c r="Y9" s="163"/>
      <c r="Z9" s="163"/>
      <c r="AA9" s="163"/>
      <c r="AB9" s="163"/>
      <c r="AC9" s="163"/>
      <c r="AD9" s="145"/>
      <c r="AE9" s="7"/>
      <c r="AF9" s="42"/>
    </row>
    <row r="10" spans="1:36" s="43" customFormat="1" ht="9.9499999999999993" customHeight="1" x14ac:dyDescent="0.2">
      <c r="A10" s="42"/>
      <c r="C10" s="157">
        <f ca="1">W8+1</f>
        <v>46341</v>
      </c>
      <c r="D10" s="158"/>
      <c r="E10" s="79"/>
      <c r="F10" s="80"/>
      <c r="G10" s="79"/>
      <c r="H10" s="80"/>
      <c r="I10" s="79"/>
      <c r="J10" s="80"/>
      <c r="K10" s="79"/>
      <c r="L10" s="81"/>
      <c r="M10" s="81"/>
      <c r="N10" s="80"/>
      <c r="O10" s="79"/>
      <c r="P10" s="81"/>
      <c r="Q10" s="81"/>
      <c r="R10" s="81"/>
      <c r="S10" s="81"/>
      <c r="T10" s="81"/>
      <c r="U10" s="81"/>
      <c r="V10" s="80"/>
      <c r="W10" s="79"/>
      <c r="X10" s="81"/>
      <c r="Y10" s="81"/>
      <c r="Z10" s="81"/>
      <c r="AA10" s="81"/>
      <c r="AB10" s="81"/>
      <c r="AC10" s="81"/>
      <c r="AD10" s="80"/>
      <c r="AE10" s="7"/>
      <c r="AF10" s="42"/>
    </row>
    <row r="11" spans="1:36" s="7" customFormat="1" ht="15" customHeight="1" x14ac:dyDescent="0.2">
      <c r="A11" s="4"/>
      <c r="C11" s="157"/>
      <c r="D11" s="158"/>
      <c r="E11" s="157">
        <f ca="1">C10+1</f>
        <v>46342</v>
      </c>
      <c r="F11" s="158"/>
      <c r="G11" s="157">
        <f ca="1">E11+1</f>
        <v>46343</v>
      </c>
      <c r="H11" s="158"/>
      <c r="I11" s="157">
        <f ca="1">G11+1</f>
        <v>46344</v>
      </c>
      <c r="J11" s="158"/>
      <c r="K11" s="157">
        <f ca="1">I11+1</f>
        <v>46345</v>
      </c>
      <c r="L11" s="162"/>
      <c r="M11" s="162"/>
      <c r="N11" s="78"/>
      <c r="O11" s="157">
        <f ca="1">K11+1</f>
        <v>46346</v>
      </c>
      <c r="P11" s="162"/>
      <c r="Q11" s="162"/>
      <c r="R11" s="162"/>
      <c r="S11" s="162"/>
      <c r="T11" s="162"/>
      <c r="U11" s="162"/>
      <c r="V11" s="158"/>
      <c r="W11" s="157">
        <f ca="1">O11+1</f>
        <v>46347</v>
      </c>
      <c r="X11" s="162"/>
      <c r="Y11" s="162"/>
      <c r="Z11" s="162"/>
      <c r="AA11" s="162"/>
      <c r="AB11" s="162"/>
      <c r="AC11" s="162"/>
      <c r="AD11" s="158"/>
      <c r="AF11" s="4"/>
      <c r="AJ11" s="3"/>
    </row>
    <row r="12" spans="1:36" s="43" customFormat="1" ht="134.65" customHeight="1" x14ac:dyDescent="0.2">
      <c r="A12" s="42"/>
      <c r="C12" s="144"/>
      <c r="D12" s="145"/>
      <c r="E12" s="164" t="s">
        <v>16</v>
      </c>
      <c r="F12" s="165"/>
      <c r="G12" s="144"/>
      <c r="H12" s="145"/>
      <c r="I12" s="144"/>
      <c r="J12" s="145"/>
      <c r="K12" s="144"/>
      <c r="L12" s="163"/>
      <c r="M12" s="163"/>
      <c r="N12" s="145"/>
      <c r="O12" s="144"/>
      <c r="P12" s="163"/>
      <c r="Q12" s="163"/>
      <c r="R12" s="163"/>
      <c r="S12" s="163"/>
      <c r="T12" s="163"/>
      <c r="U12" s="163"/>
      <c r="V12" s="145"/>
      <c r="W12" s="144"/>
      <c r="X12" s="163"/>
      <c r="Y12" s="163"/>
      <c r="Z12" s="163"/>
      <c r="AA12" s="163"/>
      <c r="AB12" s="163"/>
      <c r="AC12" s="163"/>
      <c r="AD12" s="145"/>
      <c r="AE12" s="7"/>
      <c r="AF12" s="42"/>
    </row>
    <row r="13" spans="1:36" s="43" customFormat="1" ht="9.9499999999999993" customHeight="1" x14ac:dyDescent="0.2">
      <c r="A13" s="42"/>
      <c r="C13" s="157">
        <f ca="1">W11+1</f>
        <v>46348</v>
      </c>
      <c r="D13" s="158"/>
      <c r="E13" s="79"/>
      <c r="F13" s="80"/>
      <c r="G13" s="79"/>
      <c r="H13" s="80"/>
      <c r="I13" s="79"/>
      <c r="J13" s="80"/>
      <c r="K13" s="79"/>
      <c r="L13" s="81"/>
      <c r="M13" s="81"/>
      <c r="N13" s="80"/>
      <c r="O13" s="79"/>
      <c r="P13" s="81"/>
      <c r="Q13" s="81"/>
      <c r="R13" s="81"/>
      <c r="S13" s="81"/>
      <c r="T13" s="81"/>
      <c r="U13" s="81"/>
      <c r="V13" s="80"/>
      <c r="W13" s="79"/>
      <c r="X13" s="81"/>
      <c r="Y13" s="81"/>
      <c r="Z13" s="81"/>
      <c r="AA13" s="81"/>
      <c r="AB13" s="81"/>
      <c r="AC13" s="81"/>
      <c r="AD13" s="80"/>
      <c r="AE13" s="7"/>
      <c r="AF13" s="42"/>
    </row>
    <row r="14" spans="1:36" s="7" customFormat="1" ht="15" customHeight="1" x14ac:dyDescent="0.2">
      <c r="A14" s="4"/>
      <c r="C14" s="157"/>
      <c r="D14" s="158"/>
      <c r="E14" s="157">
        <f ca="1">C13+1</f>
        <v>46349</v>
      </c>
      <c r="F14" s="158"/>
      <c r="G14" s="157">
        <f ca="1">E14+1</f>
        <v>46350</v>
      </c>
      <c r="H14" s="158"/>
      <c r="I14" s="157">
        <f ca="1">G14+1</f>
        <v>46351</v>
      </c>
      <c r="J14" s="158"/>
      <c r="K14" s="157">
        <f ca="1">I14+1</f>
        <v>46352</v>
      </c>
      <c r="L14" s="162"/>
      <c r="M14" s="162"/>
      <c r="N14" s="78"/>
      <c r="O14" s="157">
        <f ca="1">K14+1</f>
        <v>46353</v>
      </c>
      <c r="P14" s="162"/>
      <c r="Q14" s="162"/>
      <c r="R14" s="162"/>
      <c r="S14" s="162"/>
      <c r="T14" s="162"/>
      <c r="U14" s="162"/>
      <c r="V14" s="158"/>
      <c r="W14" s="157">
        <f ca="1">O14+1</f>
        <v>46354</v>
      </c>
      <c r="X14" s="162"/>
      <c r="Y14" s="162"/>
      <c r="Z14" s="162"/>
      <c r="AA14" s="162"/>
      <c r="AB14" s="162"/>
      <c r="AC14" s="162"/>
      <c r="AD14" s="158"/>
      <c r="AF14" s="4"/>
    </row>
    <row r="15" spans="1:36" s="43" customFormat="1" ht="75" customHeight="1" x14ac:dyDescent="0.2">
      <c r="A15" s="42"/>
      <c r="C15" s="144"/>
      <c r="D15" s="145"/>
      <c r="E15" s="144"/>
      <c r="F15" s="145"/>
      <c r="G15" s="144"/>
      <c r="H15" s="145"/>
      <c r="I15" s="144"/>
      <c r="J15" s="145"/>
      <c r="K15" s="144"/>
      <c r="L15" s="163"/>
      <c r="M15" s="163"/>
      <c r="N15" s="145"/>
      <c r="O15" s="144"/>
      <c r="P15" s="163"/>
      <c r="Q15" s="163"/>
      <c r="R15" s="163"/>
      <c r="S15" s="163"/>
      <c r="T15" s="163"/>
      <c r="U15" s="163"/>
      <c r="V15" s="145"/>
      <c r="W15" s="144"/>
      <c r="X15" s="163"/>
      <c r="Y15" s="163"/>
      <c r="Z15" s="163"/>
      <c r="AA15" s="163"/>
      <c r="AB15" s="163"/>
      <c r="AC15" s="163"/>
      <c r="AD15" s="145"/>
      <c r="AE15" s="7"/>
      <c r="AF15" s="42"/>
    </row>
    <row r="16" spans="1:36" s="43" customFormat="1" ht="9.9499999999999993" customHeight="1" x14ac:dyDescent="0.2">
      <c r="A16" s="42"/>
      <c r="C16" s="119">
        <f ca="1">W14+1</f>
        <v>46355</v>
      </c>
      <c r="D16" s="121"/>
      <c r="E16" s="45"/>
      <c r="F16" s="75"/>
      <c r="G16" s="45"/>
      <c r="H16" s="75"/>
      <c r="I16" s="136"/>
      <c r="J16" s="137"/>
      <c r="K16" s="66"/>
      <c r="L16" s="68"/>
      <c r="M16" s="68"/>
      <c r="N16" s="67"/>
      <c r="O16" s="47"/>
      <c r="P16" s="49"/>
      <c r="Q16" s="49"/>
      <c r="R16" s="49"/>
      <c r="S16" s="49"/>
      <c r="T16" s="49"/>
      <c r="U16" s="49"/>
      <c r="V16" s="48"/>
      <c r="W16" s="45"/>
      <c r="X16" s="76"/>
      <c r="Y16" s="76"/>
      <c r="Z16" s="76"/>
      <c r="AA16" s="76"/>
      <c r="AB16" s="76"/>
      <c r="AC16" s="76"/>
      <c r="AD16" s="75"/>
      <c r="AE16" s="7"/>
      <c r="AF16" s="42"/>
    </row>
    <row r="17" spans="1:42" s="7" customFormat="1" ht="15" customHeight="1" x14ac:dyDescent="0.2">
      <c r="A17" s="4"/>
      <c r="C17" s="119"/>
      <c r="D17" s="121"/>
      <c r="E17" s="112">
        <f ca="1">C16+1</f>
        <v>46356</v>
      </c>
      <c r="F17" s="113"/>
      <c r="G17" s="112">
        <f ca="1">E17+1</f>
        <v>46357</v>
      </c>
      <c r="H17" s="113"/>
      <c r="I17" s="112">
        <f ca="1">G17+1</f>
        <v>46358</v>
      </c>
      <c r="J17" s="113"/>
      <c r="K17" s="112">
        <f ca="1">I17+1</f>
        <v>46359</v>
      </c>
      <c r="L17" s="114"/>
      <c r="M17" s="114"/>
      <c r="N17" s="113"/>
      <c r="O17" s="112">
        <f ca="1">K17+1</f>
        <v>46360</v>
      </c>
      <c r="P17" s="114"/>
      <c r="Q17" s="114"/>
      <c r="R17" s="114"/>
      <c r="S17" s="114"/>
      <c r="T17" s="114"/>
      <c r="U17" s="114"/>
      <c r="V17" s="113"/>
      <c r="W17" s="112">
        <f ca="1">O17+1</f>
        <v>46361</v>
      </c>
      <c r="X17" s="114"/>
      <c r="Y17" s="114"/>
      <c r="Z17" s="114"/>
      <c r="AA17" s="114"/>
      <c r="AB17" s="114"/>
      <c r="AC17" s="114"/>
      <c r="AD17" s="113"/>
      <c r="AF17" s="4"/>
    </row>
    <row r="18" spans="1:42" s="43" customFormat="1" ht="75" customHeight="1" x14ac:dyDescent="0.2">
      <c r="A18" s="42"/>
      <c r="C18" s="122"/>
      <c r="D18" s="123"/>
      <c r="E18" s="122"/>
      <c r="F18" s="123"/>
      <c r="G18" s="122"/>
      <c r="H18" s="123"/>
      <c r="I18" s="122"/>
      <c r="J18" s="123"/>
      <c r="K18" s="122"/>
      <c r="L18" s="139"/>
      <c r="M18" s="139"/>
      <c r="N18" s="123"/>
      <c r="O18" s="122"/>
      <c r="P18" s="139"/>
      <c r="Q18" s="139"/>
      <c r="R18" s="139"/>
      <c r="S18" s="139"/>
      <c r="T18" s="139"/>
      <c r="U18" s="139"/>
      <c r="V18" s="123"/>
      <c r="W18" s="122"/>
      <c r="X18" s="139"/>
      <c r="Y18" s="139"/>
      <c r="Z18" s="139"/>
      <c r="AA18" s="139"/>
      <c r="AB18" s="139"/>
      <c r="AC18" s="139"/>
      <c r="AD18" s="123"/>
      <c r="AE18" s="7"/>
      <c r="AF18" s="42"/>
      <c r="AP18" s="3"/>
    </row>
    <row r="19" spans="1:42" s="43" customFormat="1" ht="9.9499999999999993" customHeight="1" x14ac:dyDescent="0.2">
      <c r="A19" s="42"/>
      <c r="C19" s="119">
        <f ca="1">W17+1</f>
        <v>46362</v>
      </c>
      <c r="D19" s="121"/>
      <c r="E19" s="45"/>
      <c r="F19" s="75"/>
      <c r="G19" s="45"/>
      <c r="H19" s="75"/>
      <c r="I19" s="136"/>
      <c r="J19" s="137"/>
      <c r="K19" s="66"/>
      <c r="L19" s="68"/>
      <c r="M19" s="68"/>
      <c r="N19" s="67"/>
      <c r="O19" s="47"/>
      <c r="P19" s="49"/>
      <c r="Q19" s="49"/>
      <c r="R19" s="49"/>
      <c r="S19" s="49"/>
      <c r="T19" s="49"/>
      <c r="U19" s="49"/>
      <c r="V19" s="48"/>
      <c r="W19" s="45"/>
      <c r="X19" s="76"/>
      <c r="Y19" s="76"/>
      <c r="Z19" s="76"/>
      <c r="AA19" s="76"/>
      <c r="AB19" s="76"/>
      <c r="AC19" s="76"/>
      <c r="AD19" s="75"/>
      <c r="AE19" s="7"/>
      <c r="AF19" s="42"/>
    </row>
    <row r="20" spans="1:42" s="7" customFormat="1" ht="15" customHeight="1" x14ac:dyDescent="0.2">
      <c r="A20" s="4"/>
      <c r="C20" s="119"/>
      <c r="D20" s="121"/>
      <c r="E20" s="112">
        <f ca="1">C19+1</f>
        <v>46363</v>
      </c>
      <c r="F20" s="113"/>
      <c r="G20" s="112">
        <f ca="1">E20+1</f>
        <v>46364</v>
      </c>
      <c r="H20" s="113"/>
      <c r="I20" s="112">
        <f ca="1">G20+1</f>
        <v>46365</v>
      </c>
      <c r="J20" s="113"/>
      <c r="K20" s="112">
        <f ca="1">I20+1</f>
        <v>46366</v>
      </c>
      <c r="L20" s="114"/>
      <c r="M20" s="114"/>
      <c r="N20" s="113"/>
      <c r="O20" s="112">
        <f ca="1">K20+1</f>
        <v>46367</v>
      </c>
      <c r="P20" s="114"/>
      <c r="Q20" s="114"/>
      <c r="R20" s="114"/>
      <c r="S20" s="114"/>
      <c r="T20" s="114"/>
      <c r="U20" s="114"/>
      <c r="V20" s="113"/>
      <c r="W20" s="112">
        <f ca="1">O20+1</f>
        <v>46368</v>
      </c>
      <c r="X20" s="114"/>
      <c r="Y20" s="114"/>
      <c r="Z20" s="114"/>
      <c r="AA20" s="114"/>
      <c r="AB20" s="114"/>
      <c r="AC20" s="114"/>
      <c r="AD20" s="113"/>
      <c r="AF20" s="4"/>
    </row>
    <row r="21" spans="1:42" s="43" customFormat="1" ht="75" customHeight="1" x14ac:dyDescent="0.2">
      <c r="A21" s="42"/>
      <c r="C21" s="122"/>
      <c r="D21" s="123"/>
      <c r="E21" s="122"/>
      <c r="F21" s="123"/>
      <c r="G21" s="122"/>
      <c r="H21" s="123"/>
      <c r="I21" s="122"/>
      <c r="J21" s="123"/>
      <c r="K21" s="122"/>
      <c r="L21" s="139"/>
      <c r="M21" s="139"/>
      <c r="N21" s="123"/>
      <c r="O21" s="122"/>
      <c r="P21" s="139"/>
      <c r="Q21" s="139"/>
      <c r="R21" s="139"/>
      <c r="S21" s="139"/>
      <c r="T21" s="139"/>
      <c r="U21" s="139"/>
      <c r="V21" s="123"/>
      <c r="W21" s="122"/>
      <c r="X21" s="139"/>
      <c r="Y21" s="139"/>
      <c r="Z21" s="139"/>
      <c r="AA21" s="139"/>
      <c r="AB21" s="139"/>
      <c r="AC21" s="139"/>
      <c r="AD21" s="123"/>
      <c r="AE21" s="7"/>
      <c r="AF21" s="42"/>
      <c r="AP21" s="3"/>
    </row>
    <row r="22" spans="1:42" s="7" customFormat="1" ht="24.95" customHeight="1" x14ac:dyDescent="0.2">
      <c r="A22" s="4"/>
      <c r="C22" s="52"/>
      <c r="D22" s="52"/>
      <c r="E22" s="52"/>
      <c r="F22" s="52"/>
      <c r="G22" s="53"/>
      <c r="H22" s="54"/>
      <c r="I22" s="54"/>
      <c r="J22" s="54"/>
      <c r="K22" s="54"/>
      <c r="L22" s="54"/>
      <c r="M22" s="54"/>
      <c r="N22" s="54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F22" s="4"/>
    </row>
    <row r="23" spans="1:42" s="7" customFormat="1" ht="24.95" customHeight="1" x14ac:dyDescent="0.2">
      <c r="A23" s="4"/>
      <c r="B23" s="4"/>
      <c r="C23" s="56"/>
      <c r="D23" s="56"/>
      <c r="E23" s="56"/>
      <c r="F23" s="56"/>
      <c r="G23" s="57"/>
      <c r="H23" s="58"/>
      <c r="I23" s="58"/>
      <c r="J23" s="58"/>
      <c r="K23" s="58"/>
      <c r="L23" s="58"/>
      <c r="M23" s="58"/>
      <c r="N23" s="58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4"/>
      <c r="AF23" s="4"/>
    </row>
    <row r="24" spans="1:42" ht="24.95" customHeight="1" x14ac:dyDescent="0.2">
      <c r="A24" s="1"/>
      <c r="M24" s="1"/>
      <c r="AF24" s="1"/>
    </row>
    <row r="25" spans="1:42" ht="20.100000000000001" customHeight="1" x14ac:dyDescent="0.2">
      <c r="A25" s="1"/>
      <c r="C25" s="140" t="s">
        <v>0</v>
      </c>
      <c r="D25" s="140"/>
      <c r="E25" s="140"/>
      <c r="F25" s="140"/>
      <c r="G25" s="140"/>
      <c r="H25" s="140"/>
      <c r="I25" s="140"/>
      <c r="J25" s="140"/>
      <c r="K25" s="140"/>
      <c r="L25" s="60"/>
      <c r="M25" s="1"/>
      <c r="O25" s="141">
        <f ca="1">DATE(YEAR(C2),MONTH(C2)-1,1)</f>
        <v>46296</v>
      </c>
      <c r="P25" s="141"/>
      <c r="Q25" s="141"/>
      <c r="R25" s="141"/>
      <c r="S25" s="141"/>
      <c r="T25" s="141"/>
      <c r="U25" s="141"/>
      <c r="V25" s="61"/>
      <c r="W25" s="61"/>
      <c r="X25" s="141">
        <f ca="1">DATE(YEAR(C2),MONTH(C2)+1,1)</f>
        <v>46357</v>
      </c>
      <c r="Y25" s="141"/>
      <c r="Z25" s="141"/>
      <c r="AA25" s="141"/>
      <c r="AB25" s="141"/>
      <c r="AC25" s="141"/>
      <c r="AD25" s="141"/>
      <c r="AF25" s="1"/>
    </row>
    <row r="26" spans="1:42" ht="15" customHeight="1" x14ac:dyDescent="0.2">
      <c r="A26" s="1"/>
      <c r="C26" s="140"/>
      <c r="D26" s="140"/>
      <c r="E26" s="140"/>
      <c r="F26" s="140"/>
      <c r="G26" s="140"/>
      <c r="H26" s="140"/>
      <c r="I26" s="140"/>
      <c r="J26" s="140"/>
      <c r="K26" s="140"/>
      <c r="L26" s="60"/>
      <c r="M26" s="1"/>
      <c r="O26" s="62" t="str">
        <f>INDEX({"S";"M";"T";"W";"T";"F";"S"},1+MOD(start_day+1-2,7))</f>
        <v>S</v>
      </c>
      <c r="P26" s="62" t="str">
        <f>INDEX({"S";"M";"T";"W";"T";"F";"S"},1+MOD(start_day+2-2,7))</f>
        <v>M</v>
      </c>
      <c r="Q26" s="62" t="str">
        <f>INDEX({"S";"M";"T";"W";"T";"F";"S"},1+MOD(start_day+3-2,7))</f>
        <v>T</v>
      </c>
      <c r="R26" s="62" t="str">
        <f>INDEX({"S";"M";"T";"W";"T";"F";"S"},1+MOD(start_day+4-2,7))</f>
        <v>W</v>
      </c>
      <c r="S26" s="62" t="str">
        <f>INDEX({"S";"M";"T";"W";"T";"F";"S"},1+MOD(start_day+5-2,7))</f>
        <v>T</v>
      </c>
      <c r="T26" s="62" t="str">
        <f>INDEX({"S";"M";"T";"W";"T";"F";"S"},1+MOD(start_day+6-2,7))</f>
        <v>F</v>
      </c>
      <c r="U26" s="62" t="str">
        <f>INDEX({"S";"M";"T";"W";"T";"F";"S"},1+MOD(start_day+7-2,7))</f>
        <v>S</v>
      </c>
      <c r="V26" s="63"/>
      <c r="W26" s="63"/>
      <c r="X26" s="62" t="str">
        <f>INDEX({"S";"M";"T";"W";"T";"F";"S"},1+MOD(start_day+1-2,7))</f>
        <v>S</v>
      </c>
      <c r="Y26" s="62" t="str">
        <f>INDEX({"S";"M";"T";"W";"T";"F";"S"},1+MOD(start_day+2-2,7))</f>
        <v>M</v>
      </c>
      <c r="Z26" s="62" t="str">
        <f>INDEX({"S";"M";"T";"W";"T";"F";"S"},1+MOD(start_day+3-2,7))</f>
        <v>T</v>
      </c>
      <c r="AA26" s="62" t="str">
        <f>INDEX({"S";"M";"T";"W";"T";"F";"S"},1+MOD(start_day+4-2,7))</f>
        <v>W</v>
      </c>
      <c r="AB26" s="62" t="str">
        <f>INDEX({"S";"M";"T";"W";"T";"F";"S"},1+MOD(start_day+5-2,7))</f>
        <v>T</v>
      </c>
      <c r="AC26" s="62" t="str">
        <f>INDEX({"S";"M";"T";"W";"T";"F";"S"},1+MOD(start_day+6-2,7))</f>
        <v>F</v>
      </c>
      <c r="AD26" s="62" t="str">
        <f>INDEX({"S";"M";"T";"W";"T";"F";"S"},1+MOD(start_day+7-2,7))</f>
        <v>S</v>
      </c>
      <c r="AF26" s="1"/>
    </row>
    <row r="27" spans="1:42" ht="15" customHeight="1" x14ac:dyDescent="0.2">
      <c r="A27" s="1"/>
      <c r="C27" s="116"/>
      <c r="D27" s="116"/>
      <c r="E27" s="116"/>
      <c r="F27" s="116"/>
      <c r="G27" s="116"/>
      <c r="H27" s="116"/>
      <c r="I27" s="116"/>
      <c r="J27" s="116"/>
      <c r="K27" s="116"/>
      <c r="M27" s="1"/>
      <c r="O27" s="64" t="str">
        <f t="shared" ref="O27:U32" ca="1" si="0"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65" t="str">
        <f t="shared" ca="1" si="0"/>
        <v/>
      </c>
      <c r="Q27" s="65" t="str">
        <f t="shared" ca="1" si="0"/>
        <v/>
      </c>
      <c r="R27" s="65" t="str">
        <f t="shared" ca="1" si="0"/>
        <v/>
      </c>
      <c r="S27" s="65">
        <f t="shared" ca="1" si="0"/>
        <v>46296</v>
      </c>
      <c r="T27" s="65">
        <f t="shared" ca="1" si="0"/>
        <v>46297</v>
      </c>
      <c r="U27" s="64">
        <f t="shared" ca="1" si="0"/>
        <v>46298</v>
      </c>
      <c r="V27" s="61"/>
      <c r="W27" s="61"/>
      <c r="X27" s="65" t="str">
        <f t="shared" ref="X27:AD32" ca="1" si="1"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65" t="str">
        <f t="shared" ca="1" si="1"/>
        <v/>
      </c>
      <c r="Z27" s="65">
        <f t="shared" ca="1" si="1"/>
        <v>46357</v>
      </c>
      <c r="AA27" s="65">
        <f t="shared" ca="1" si="1"/>
        <v>46358</v>
      </c>
      <c r="AB27" s="65">
        <f t="shared" ca="1" si="1"/>
        <v>46359</v>
      </c>
      <c r="AC27" s="65">
        <f t="shared" ca="1" si="1"/>
        <v>46360</v>
      </c>
      <c r="AD27" s="64">
        <f t="shared" ca="1" si="1"/>
        <v>46361</v>
      </c>
      <c r="AF27" s="1"/>
    </row>
    <row r="28" spans="1:42" ht="15" customHeight="1" x14ac:dyDescent="0.2">
      <c r="A28" s="1"/>
      <c r="C28" s="115"/>
      <c r="D28" s="115"/>
      <c r="E28" s="115"/>
      <c r="F28" s="115"/>
      <c r="G28" s="115"/>
      <c r="H28" s="115"/>
      <c r="I28" s="115"/>
      <c r="J28" s="115"/>
      <c r="K28" s="115"/>
      <c r="M28" s="1"/>
      <c r="O28" s="64">
        <f t="shared" ca="1" si="0"/>
        <v>46299</v>
      </c>
      <c r="P28" s="65">
        <f t="shared" ca="1" si="0"/>
        <v>46300</v>
      </c>
      <c r="Q28" s="65">
        <f t="shared" ca="1" si="0"/>
        <v>46301</v>
      </c>
      <c r="R28" s="65">
        <f t="shared" ca="1" si="0"/>
        <v>46302</v>
      </c>
      <c r="S28" s="65">
        <f t="shared" ca="1" si="0"/>
        <v>46303</v>
      </c>
      <c r="T28" s="65">
        <f t="shared" ca="1" si="0"/>
        <v>46304</v>
      </c>
      <c r="U28" s="64">
        <f t="shared" ca="1" si="0"/>
        <v>46305</v>
      </c>
      <c r="V28" s="61"/>
      <c r="W28" s="61"/>
      <c r="X28" s="64">
        <f t="shared" ca="1" si="1"/>
        <v>46362</v>
      </c>
      <c r="Y28" s="65">
        <f t="shared" ca="1" si="1"/>
        <v>46363</v>
      </c>
      <c r="Z28" s="65">
        <f t="shared" ca="1" si="1"/>
        <v>46364</v>
      </c>
      <c r="AA28" s="65">
        <f t="shared" ca="1" si="1"/>
        <v>46365</v>
      </c>
      <c r="AB28" s="65">
        <f t="shared" ca="1" si="1"/>
        <v>46366</v>
      </c>
      <c r="AC28" s="65">
        <f t="shared" ca="1" si="1"/>
        <v>46367</v>
      </c>
      <c r="AD28" s="64">
        <f t="shared" ca="1" si="1"/>
        <v>46368</v>
      </c>
      <c r="AF28" s="1"/>
    </row>
    <row r="29" spans="1:42" ht="15" customHeight="1" x14ac:dyDescent="0.2">
      <c r="A29" s="1"/>
      <c r="C29" s="116"/>
      <c r="D29" s="116"/>
      <c r="E29" s="116"/>
      <c r="F29" s="116"/>
      <c r="G29" s="116"/>
      <c r="H29" s="116"/>
      <c r="I29" s="116"/>
      <c r="J29" s="116"/>
      <c r="K29" s="116"/>
      <c r="M29" s="1"/>
      <c r="O29" s="64">
        <f t="shared" ca="1" si="0"/>
        <v>46306</v>
      </c>
      <c r="P29" s="65">
        <f t="shared" ca="1" si="0"/>
        <v>46307</v>
      </c>
      <c r="Q29" s="65">
        <f t="shared" ca="1" si="0"/>
        <v>46308</v>
      </c>
      <c r="R29" s="65">
        <f t="shared" ca="1" si="0"/>
        <v>46309</v>
      </c>
      <c r="S29" s="65">
        <f t="shared" ca="1" si="0"/>
        <v>46310</v>
      </c>
      <c r="T29" s="65">
        <f t="shared" ca="1" si="0"/>
        <v>46311</v>
      </c>
      <c r="U29" s="64">
        <f t="shared" ca="1" si="0"/>
        <v>46312</v>
      </c>
      <c r="V29" s="61"/>
      <c r="W29" s="61"/>
      <c r="X29" s="64">
        <f t="shared" ca="1" si="1"/>
        <v>46369</v>
      </c>
      <c r="Y29" s="65">
        <f t="shared" ca="1" si="1"/>
        <v>46370</v>
      </c>
      <c r="Z29" s="65">
        <f t="shared" ca="1" si="1"/>
        <v>46371</v>
      </c>
      <c r="AA29" s="65">
        <f t="shared" ca="1" si="1"/>
        <v>46372</v>
      </c>
      <c r="AB29" s="65">
        <f t="shared" ca="1" si="1"/>
        <v>46373</v>
      </c>
      <c r="AC29" s="65">
        <f t="shared" ca="1" si="1"/>
        <v>46374</v>
      </c>
      <c r="AD29" s="64">
        <f t="shared" ca="1" si="1"/>
        <v>46375</v>
      </c>
      <c r="AF29" s="1"/>
    </row>
    <row r="30" spans="1:42" ht="15" customHeight="1" x14ac:dyDescent="0.2">
      <c r="A30" s="1"/>
      <c r="C30" s="115"/>
      <c r="D30" s="115"/>
      <c r="E30" s="115"/>
      <c r="F30" s="115"/>
      <c r="G30" s="115"/>
      <c r="H30" s="115"/>
      <c r="I30" s="115"/>
      <c r="J30" s="115"/>
      <c r="K30" s="115"/>
      <c r="M30" s="1"/>
      <c r="O30" s="64">
        <f t="shared" ca="1" si="0"/>
        <v>46313</v>
      </c>
      <c r="P30" s="65">
        <f t="shared" ca="1" si="0"/>
        <v>46314</v>
      </c>
      <c r="Q30" s="65">
        <f t="shared" ca="1" si="0"/>
        <v>46315</v>
      </c>
      <c r="R30" s="65">
        <f t="shared" ca="1" si="0"/>
        <v>46316</v>
      </c>
      <c r="S30" s="65">
        <f t="shared" ca="1" si="0"/>
        <v>46317</v>
      </c>
      <c r="T30" s="65">
        <f t="shared" ca="1" si="0"/>
        <v>46318</v>
      </c>
      <c r="U30" s="64">
        <f t="shared" ca="1" si="0"/>
        <v>46319</v>
      </c>
      <c r="V30" s="61"/>
      <c r="W30" s="61"/>
      <c r="X30" s="64">
        <f t="shared" ca="1" si="1"/>
        <v>46376</v>
      </c>
      <c r="Y30" s="65">
        <f t="shared" ca="1" si="1"/>
        <v>46377</v>
      </c>
      <c r="Z30" s="65">
        <f t="shared" ca="1" si="1"/>
        <v>46378</v>
      </c>
      <c r="AA30" s="65">
        <f t="shared" ca="1" si="1"/>
        <v>46379</v>
      </c>
      <c r="AB30" s="65">
        <f t="shared" ca="1" si="1"/>
        <v>46380</v>
      </c>
      <c r="AC30" s="65">
        <f t="shared" ca="1" si="1"/>
        <v>46381</v>
      </c>
      <c r="AD30" s="64">
        <f t="shared" ca="1" si="1"/>
        <v>46382</v>
      </c>
      <c r="AF30" s="1"/>
    </row>
    <row r="31" spans="1:42" ht="15" customHeight="1" x14ac:dyDescent="0.2">
      <c r="A31" s="1"/>
      <c r="C31" s="116"/>
      <c r="D31" s="116"/>
      <c r="E31" s="116"/>
      <c r="F31" s="116"/>
      <c r="G31" s="116"/>
      <c r="H31" s="116"/>
      <c r="I31" s="116"/>
      <c r="J31" s="116"/>
      <c r="K31" s="116"/>
      <c r="M31" s="1"/>
      <c r="O31" s="64">
        <f t="shared" ca="1" si="0"/>
        <v>46320</v>
      </c>
      <c r="P31" s="65">
        <f t="shared" ca="1" si="0"/>
        <v>46321</v>
      </c>
      <c r="Q31" s="65">
        <f t="shared" ca="1" si="0"/>
        <v>46322</v>
      </c>
      <c r="R31" s="65">
        <f t="shared" ca="1" si="0"/>
        <v>46323</v>
      </c>
      <c r="S31" s="65">
        <f t="shared" ca="1" si="0"/>
        <v>46324</v>
      </c>
      <c r="T31" s="65">
        <f t="shared" ca="1" si="0"/>
        <v>46325</v>
      </c>
      <c r="U31" s="64">
        <f t="shared" ca="1" si="0"/>
        <v>46326</v>
      </c>
      <c r="V31" s="61"/>
      <c r="W31" s="61"/>
      <c r="X31" s="64">
        <f t="shared" ca="1" si="1"/>
        <v>46383</v>
      </c>
      <c r="Y31" s="65">
        <f t="shared" ca="1" si="1"/>
        <v>46384</v>
      </c>
      <c r="Z31" s="65">
        <f t="shared" ca="1" si="1"/>
        <v>46385</v>
      </c>
      <c r="AA31" s="65">
        <f t="shared" ca="1" si="1"/>
        <v>46386</v>
      </c>
      <c r="AB31" s="65">
        <f t="shared" ca="1" si="1"/>
        <v>46387</v>
      </c>
      <c r="AC31" s="65" t="str">
        <f t="shared" ca="1" si="1"/>
        <v/>
      </c>
      <c r="AD31" s="65" t="str">
        <f t="shared" ca="1" si="1"/>
        <v/>
      </c>
      <c r="AF31" s="1"/>
    </row>
    <row r="32" spans="1:42" ht="15" customHeight="1" x14ac:dyDescent="0.2">
      <c r="A32" s="1"/>
      <c r="C32" s="77"/>
      <c r="D32" s="77"/>
      <c r="E32" s="77"/>
      <c r="F32" s="77"/>
      <c r="G32" s="77"/>
      <c r="H32" s="77"/>
      <c r="I32" s="77"/>
      <c r="J32" s="77"/>
      <c r="K32" s="77"/>
      <c r="M32" s="1"/>
      <c r="O32" s="64" t="str">
        <f t="shared" ca="1" si="0"/>
        <v/>
      </c>
      <c r="P32" s="65" t="str">
        <f t="shared" ca="1" si="0"/>
        <v/>
      </c>
      <c r="Q32" s="65" t="str">
        <f t="shared" ca="1" si="0"/>
        <v/>
      </c>
      <c r="R32" s="65" t="str">
        <f t="shared" ca="1" si="0"/>
        <v/>
      </c>
      <c r="S32" s="65" t="str">
        <f t="shared" ca="1" si="0"/>
        <v/>
      </c>
      <c r="T32" s="65" t="str">
        <f t="shared" ca="1" si="0"/>
        <v/>
      </c>
      <c r="U32" s="64" t="str">
        <f t="shared" ca="1" si="0"/>
        <v/>
      </c>
      <c r="V32" s="61"/>
      <c r="W32" s="61"/>
      <c r="X32" s="64" t="str">
        <f t="shared" ca="1" si="1"/>
        <v/>
      </c>
      <c r="Y32" s="65" t="str">
        <f t="shared" ca="1" si="1"/>
        <v/>
      </c>
      <c r="Z32" s="65" t="str">
        <f t="shared" ca="1" si="1"/>
        <v/>
      </c>
      <c r="AA32" s="65" t="str">
        <f t="shared" ca="1" si="1"/>
        <v/>
      </c>
      <c r="AB32" s="65" t="str">
        <f t="shared" ca="1" si="1"/>
        <v/>
      </c>
      <c r="AC32" s="65" t="str">
        <f t="shared" ca="1" si="1"/>
        <v/>
      </c>
      <c r="AD32" s="65" t="str">
        <f t="shared" ca="1" si="1"/>
        <v/>
      </c>
      <c r="AF32" s="1"/>
    </row>
    <row r="33" spans="1:32" x14ac:dyDescent="0.2">
      <c r="A33" s="1"/>
      <c r="M33" s="1"/>
      <c r="AF33" s="1"/>
    </row>
    <row r="34" spans="1:32" ht="24.9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7" spans="1:32" ht="13.5" thickBot="1" x14ac:dyDescent="0.25"/>
    <row r="38" spans="1:32" ht="12.6" customHeight="1" x14ac:dyDescent="0.2">
      <c r="D38" s="84" t="s">
        <v>23</v>
      </c>
      <c r="E38" s="85"/>
      <c r="F38" s="86"/>
      <c r="G38" s="90">
        <f ca="1">ROUNDDOWN((DATE(2026,11,13)-TODAY())/7,0)</f>
        <v>4</v>
      </c>
      <c r="H38" s="91"/>
      <c r="I38" s="84" t="s">
        <v>26</v>
      </c>
      <c r="J38" s="98"/>
      <c r="K38" s="94" t="s">
        <v>24</v>
      </c>
      <c r="L38" s="95"/>
      <c r="M38" s="106">
        <f ca="1">7*(((DATE(2026,11,13)-TODAY())/7)-ROUNDDOWN((DATE(2026,11,13)-TODAY())/7,0))</f>
        <v>5.0000000000000009</v>
      </c>
      <c r="N38" s="107"/>
      <c r="O38" s="107"/>
      <c r="P38" s="107"/>
      <c r="Q38" s="107"/>
      <c r="R38" s="108"/>
      <c r="S38" s="100" t="s">
        <v>25</v>
      </c>
      <c r="T38" s="101"/>
      <c r="U38" s="101"/>
      <c r="V38" s="101"/>
      <c r="W38" s="101"/>
      <c r="X38" s="102"/>
    </row>
    <row r="39" spans="1:32" ht="12.95" customHeight="1" thickBot="1" x14ac:dyDescent="0.25">
      <c r="D39" s="87"/>
      <c r="E39" s="88"/>
      <c r="F39" s="89"/>
      <c r="G39" s="92"/>
      <c r="H39" s="93"/>
      <c r="I39" s="87"/>
      <c r="J39" s="99"/>
      <c r="K39" s="96"/>
      <c r="L39" s="97"/>
      <c r="M39" s="109"/>
      <c r="N39" s="110"/>
      <c r="O39" s="110"/>
      <c r="P39" s="110"/>
      <c r="Q39" s="110"/>
      <c r="R39" s="111"/>
      <c r="S39" s="103"/>
      <c r="T39" s="104"/>
      <c r="U39" s="104"/>
      <c r="V39" s="104"/>
      <c r="W39" s="104"/>
      <c r="X39" s="105"/>
    </row>
  </sheetData>
  <mergeCells count="112">
    <mergeCell ref="K18:N18"/>
    <mergeCell ref="W18:AD18"/>
    <mergeCell ref="C25:K26"/>
    <mergeCell ref="O25:U25"/>
    <mergeCell ref="X25:AD25"/>
    <mergeCell ref="C27:K27"/>
    <mergeCell ref="C28:K29"/>
    <mergeCell ref="C18:D18"/>
    <mergeCell ref="E18:F18"/>
    <mergeCell ref="G18:H18"/>
    <mergeCell ref="I18:J18"/>
    <mergeCell ref="O18:V18"/>
    <mergeCell ref="C19:D20"/>
    <mergeCell ref="I19:J19"/>
    <mergeCell ref="E20:F20"/>
    <mergeCell ref="G20:H20"/>
    <mergeCell ref="I20:J20"/>
    <mergeCell ref="K20:N20"/>
    <mergeCell ref="W15:AD15"/>
    <mergeCell ref="C16:D17"/>
    <mergeCell ref="E17:F17"/>
    <mergeCell ref="G17:H17"/>
    <mergeCell ref="I17:J17"/>
    <mergeCell ref="O17:V17"/>
    <mergeCell ref="W17:AD17"/>
    <mergeCell ref="C15:D15"/>
    <mergeCell ref="E15:F15"/>
    <mergeCell ref="G15:H15"/>
    <mergeCell ref="I15:J15"/>
    <mergeCell ref="O15:V15"/>
    <mergeCell ref="K15:N15"/>
    <mergeCell ref="I16:J16"/>
    <mergeCell ref="K17:N17"/>
    <mergeCell ref="W12:AD12"/>
    <mergeCell ref="C13:D14"/>
    <mergeCell ref="E14:F14"/>
    <mergeCell ref="G14:H14"/>
    <mergeCell ref="I14:J14"/>
    <mergeCell ref="K14:M14"/>
    <mergeCell ref="O14:V14"/>
    <mergeCell ref="W14:AD14"/>
    <mergeCell ref="C12:D12"/>
    <mergeCell ref="E12:F12"/>
    <mergeCell ref="G12:H12"/>
    <mergeCell ref="I12:J12"/>
    <mergeCell ref="O12:V12"/>
    <mergeCell ref="K12:N12"/>
    <mergeCell ref="W9:AD9"/>
    <mergeCell ref="C10:D11"/>
    <mergeCell ref="E11:F11"/>
    <mergeCell ref="G11:H11"/>
    <mergeCell ref="I11:J11"/>
    <mergeCell ref="K11:M11"/>
    <mergeCell ref="O11:V11"/>
    <mergeCell ref="W11:AD11"/>
    <mergeCell ref="C9:D9"/>
    <mergeCell ref="E9:F9"/>
    <mergeCell ref="G9:H9"/>
    <mergeCell ref="I9:J9"/>
    <mergeCell ref="O9:V9"/>
    <mergeCell ref="K9:N9"/>
    <mergeCell ref="K6:N6"/>
    <mergeCell ref="C7:D8"/>
    <mergeCell ref="E7:F7"/>
    <mergeCell ref="G7:H7"/>
    <mergeCell ref="I7:J7"/>
    <mergeCell ref="K7:M7"/>
    <mergeCell ref="W7:AD7"/>
    <mergeCell ref="E8:F8"/>
    <mergeCell ref="G8:H8"/>
    <mergeCell ref="I8:J8"/>
    <mergeCell ref="K8:M8"/>
    <mergeCell ref="O8:V8"/>
    <mergeCell ref="W8:AD8"/>
    <mergeCell ref="O7:V7"/>
    <mergeCell ref="C6:D6"/>
    <mergeCell ref="E6:F6"/>
    <mergeCell ref="G6:H6"/>
    <mergeCell ref="I6:J6"/>
    <mergeCell ref="O6:V6"/>
    <mergeCell ref="W6:AD6"/>
    <mergeCell ref="C2:AD2"/>
    <mergeCell ref="C4:D4"/>
    <mergeCell ref="E4:F4"/>
    <mergeCell ref="G4:H4"/>
    <mergeCell ref="I4:J4"/>
    <mergeCell ref="K4:M4"/>
    <mergeCell ref="O4:V4"/>
    <mergeCell ref="W4:AD4"/>
    <mergeCell ref="W5:AD5"/>
    <mergeCell ref="C5:D5"/>
    <mergeCell ref="E5:F5"/>
    <mergeCell ref="G5:H5"/>
    <mergeCell ref="I5:J5"/>
    <mergeCell ref="K5:M5"/>
    <mergeCell ref="O5:V5"/>
    <mergeCell ref="D38:F39"/>
    <mergeCell ref="G38:H39"/>
    <mergeCell ref="I38:J39"/>
    <mergeCell ref="K38:L39"/>
    <mergeCell ref="M38:R39"/>
    <mergeCell ref="S38:X39"/>
    <mergeCell ref="C30:K31"/>
    <mergeCell ref="O20:V20"/>
    <mergeCell ref="W20:AD20"/>
    <mergeCell ref="C21:D21"/>
    <mergeCell ref="E21:F21"/>
    <mergeCell ref="G21:H21"/>
    <mergeCell ref="I21:J21"/>
    <mergeCell ref="K21:N21"/>
    <mergeCell ref="O21:V21"/>
    <mergeCell ref="W21:AD21"/>
  </mergeCells>
  <conditionalFormatting sqref="C5 E5 G5 I5 K5:L5 O5 W5 C7 E8 G8 I8 K8:L8 O8 W8 C10 E11 G11 I11 K11:L11 O11 W11 C13 E14 G14 I14 K14:L14 O14 W14 C16 E17 G17 I17 K17 O17 W17">
    <cfRule type="expression" dxfId="3" priority="3">
      <formula>MONTH(C5)&lt;&gt;MONTH($C$2)</formula>
    </cfRule>
    <cfRule type="expression" dxfId="2" priority="4">
      <formula>OR(WEEKDAY(C5,1)=1,WEEKDAY(C5,1)=7)</formula>
    </cfRule>
  </conditionalFormatting>
  <conditionalFormatting sqref="C19 E20 G20 I20 K20 O20 W20">
    <cfRule type="expression" dxfId="1" priority="1">
      <formula>MONTH(C19)&lt;&gt;MONTH($C$2)</formula>
    </cfRule>
    <cfRule type="expression" dxfId="0" priority="2">
      <formula>OR(WEEKDAY(C19,1)=1,WEEKDAY(C19,1)=7)</formula>
    </cfRule>
  </conditionalFormatting>
  <dataValidations count="7">
    <dataValidation allowBlank="1" showInputMessage="1" showErrorMessage="1" prompt="To change the calendar year, go to cell P8 in About sheet" sqref="C2:AD2" xr:uid="{B5D53C45-6775-4CBB-A58B-F32F738BC868}"/>
    <dataValidation allowBlank="1" showInputMessage="1" showErrorMessage="1" prompt="Calendar days are automatically updated" sqref="C5:D5" xr:uid="{7DBB70EF-2E5D-4E3C-B797-4A25A75433C9}"/>
    <dataValidation allowBlank="1" showInputMessage="1" showErrorMessage="1" prompt="To change the starting day of the week, go to cell P12 in About sheet" sqref="C4:D4" xr:uid="{D6E9D7AD-DFC2-4C75-8FD9-657DB9C05429}"/>
    <dataValidation allowBlank="1" showInputMessage="1" showErrorMessage="1" prompt="Enter daily notes below the calendar days, such as this cell" sqref="C6:D6" xr:uid="{51A8F318-8E30-4CD1-89A6-B7BF693A5367}"/>
    <dataValidation allowBlank="1" showInputMessage="1" showErrorMessage="1" prompt="Enter monthly notes in cells C24 to K28" sqref="C25:K26" xr:uid="{179A76F2-712D-4BB6-89DB-51C521CD4578}"/>
    <dataValidation allowBlank="1" showInputMessage="1" showErrorMessage="1" prompt="Previous month calendar" sqref="O25:U25" xr:uid="{3AE5BD46-3EFE-4E0C-B375-9D9945EB680E}"/>
    <dataValidation allowBlank="1" showInputMessage="1" showErrorMessage="1" prompt="Next month calendar" sqref="X25:AD25" xr:uid="{B338F5CA-9BAC-46C1-B051-46D9A1483089}"/>
  </dataValidations>
  <printOptions horizontalCentered="1"/>
  <pageMargins left="0.5" right="0.5" top="0.25" bottom="0.25" header="0.25" footer="0.25"/>
  <pageSetup scale="8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0" ma:contentTypeDescription="Create a new document." ma:contentTypeScope="" ma:versionID="cec0622158e8f13124e9e8fd4de31bd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52f30ab005d15df08657af532e6e3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2EDDE9-C911-407A-9906-647D87C81E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201CC6-7A0A-429C-B445-7EDA1CF4A1D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7F0D3479-5903-425F-9669-62B4E7216D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TM16410086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About</vt:lpstr>
      <vt:lpstr>September</vt:lpstr>
      <vt:lpstr>October</vt:lpstr>
      <vt:lpstr>November</vt:lpstr>
      <vt:lpstr>November!Print_Area</vt:lpstr>
      <vt:lpstr>October!Print_Area</vt:lpstr>
      <vt:lpstr>September!Print_Area</vt:lpstr>
      <vt:lpstr>start_day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2023-08-30T14:14:51Z</dcterms:created>
  <dcterms:modified xsi:type="dcterms:W3CDTF">2026-10-11T15:48:22Z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