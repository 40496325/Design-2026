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14" documentId="13_ncr:1_{916827F6-E579-45A9-A0BF-AC19F3C06EA3}" xr6:coauthVersionLast="47" xr6:coauthVersionMax="47" xr10:uidLastSave="{5EBFEC64-9B58-4A68-AE17-EA29B3CD7733}"/>
  <bookViews>
    <workbookView xWindow="-96" yWindow="-96" windowWidth="23232" windowHeight="13872" tabRatio="824" activeTab="3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</calcChain>
</file>

<file path=xl/sharedStrings.xml><?xml version="1.0" encoding="utf-8"?>
<sst xmlns="http://schemas.openxmlformats.org/spreadsheetml/2006/main" count="54" uniqueCount="44">
  <si>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</si>
  <si>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</si>
  <si>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</si>
  <si>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</si>
  <si>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</si>
  <si>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</si>
  <si>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</si>
  <si>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</si>
  <si>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</si>
  <si>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</si>
  <si>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</si>
  <si>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</si>
  <si>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</si>
  <si>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</si>
  <si>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</si>
  <si>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</si>
  <si>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</si>
  <si>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</si>
  <si>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Group: Final touches</t>
  </si>
  <si>
    <t>MCTR1: Design of carriage v2</t>
  </si>
  <si>
    <t>MCTR1: carriage v2 test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</si>
  <si>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</si>
  <si>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</si>
  <si>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</si>
  <si>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</si>
  <si>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</si>
  <si>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</si>
  <si>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</si>
  <si>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</si>
  <si>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</si>
  <si>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MCTR1: Carriage v2 build</t>
  </si>
  <si>
    <t>EEII1: ICD complete with REII and MCTR2</t>
  </si>
  <si>
    <r>
      <t xml:space="preserve">MCTR1: Carriage motor drive test, carriage v3 test </t>
    </r>
    <r>
      <rPr>
        <sz val="10"/>
        <color rgb="FF00B0F0"/>
        <rFont val="Seaford"/>
        <scheme val="minor"/>
      </rPr>
      <t>EEII1:Order heat sinks and power supply(at the latest)</t>
    </r>
  </si>
  <si>
    <t>EEII1:Working low voltage switching circuit in thevinin lab(one IGBT +driver +opto)</t>
  </si>
  <si>
    <r>
      <t xml:space="preserve">Group: First integration test                               </t>
    </r>
    <r>
      <rPr>
        <sz val="10"/>
        <color rgb="FF00B0F0"/>
        <rFont val="Seaford"/>
        <scheme val="minor"/>
      </rPr>
      <t>EEII1: Testing with PWM of REII in Heavy current lab</t>
    </r>
  </si>
  <si>
    <r>
      <t xml:space="preserve">MCTR1: Enclosure final + fit test                    </t>
    </r>
    <r>
      <rPr>
        <sz val="10"/>
        <color rgb="FF00B0F0"/>
        <rFont val="Seaford"/>
        <scheme val="minor"/>
      </rPr>
      <t xml:space="preserve"> </t>
    </r>
  </si>
  <si>
    <t xml:space="preserve"> EEII1: Final Drive circuit complete+DB box wired</t>
  </si>
  <si>
    <t>EEII1: PCB manufactured by MR van Huysteen</t>
  </si>
  <si>
    <t>EERI 324</t>
  </si>
  <si>
    <t>EERI 321</t>
  </si>
  <si>
    <r>
      <t xml:space="preserve">EERI 325             </t>
    </r>
    <r>
      <rPr>
        <sz val="10"/>
        <color theme="1"/>
        <rFont val="Seaford"/>
        <scheme val="minor"/>
      </rPr>
      <t>Group: Integration successful</t>
    </r>
  </si>
  <si>
    <t>MCTR1: Enclosure v1 test,  ICD complete with- REII, ICD complete with- MCTR2?</t>
  </si>
  <si>
    <t>Group: Finish performance test reports and Individual portfolios</t>
  </si>
  <si>
    <r>
      <t xml:space="preserve">EEII 321                 </t>
    </r>
    <r>
      <rPr>
        <sz val="10"/>
        <color theme="1"/>
        <rFont val="Seaford"/>
        <scheme val="minor"/>
      </rPr>
      <t>Group: Finalize all ICDs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</si>
</sst>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41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  <font>
      <sz val="10"/>
      <color rgb="FF00B0F0"/>
      <name val="Seaford"/>
      <scheme val="minor"/>
    </font>
    <font>
      <sz val="10"/>
      <color rgb="FF7030A0"/>
      <name val="Seaford"/>
      <scheme val="minor"/>
    </font>
    <font>
      <sz val="10"/>
      <color theme="1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58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8" fillId="2" borderId="4" xfId="0" applyFont="1" applyFill="1" applyBorder="1" applyAlignment="1">
      <alignment horizontal="left" vertical="center" indent="1"/>
    </xf>
    <xf numFmtId="0" fontId="8" fillId="2" borderId="5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0" fontId="4" fillId="0" borderId="5" xfId="0" applyFont="1" applyBorder="1" applyAlignment="1">
      <alignment horizontal="left" inden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0" xfId="0" applyNumberFormat="1" applyFont="1" applyFill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5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5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38" fillId="2" borderId="4" xfId="0" applyFont="1" applyFill="1" applyBorder="1" applyAlignment="1">
      <alignment horizontal="left" vertical="top" wrapText="1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39" fillId="2" borderId="4" xfId="0" applyFont="1" applyFill="1" applyBorder="1" applyAlignment="1">
      <alignment horizontal="left" vertical="top" wrapText="1" indent="1"/>
    </xf>
    <xf numFmtId="0" fontId="30" fillId="4" borderId="0" xfId="0" applyFont="1" applyFill="1" applyAlignment="1">
      <alignment horizontal="center" vertical="center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8" fillId="2" borderId="5" xfId="0" applyFont="1" applyFill="1" applyBorder="1" applyAlignment="1">
      <alignment horizontal="left" vertical="top" wrapText="1" inden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6640625" defaultRowHeight="15.3" x14ac:dyDescent="0.55000000000000004"/>
  <cols>
    <col min="1" max="4" width="5.5546875" style="3" customWidth="1"/>
    <col min="5" max="9" width="10.5546875" style="3" customWidth="1"/>
    <col min="10" max="11" width="10.5546875" style="28" customWidth="1"/>
    <col min="12" max="14" width="5.5546875" style="3" customWidth="1"/>
    <col min="15" max="15" width="25.5546875" style="3" customWidth="1"/>
    <col min="16" max="16" width="10.5546875" style="3" customWidth="1"/>
    <col min="17" max="18" width="5.5546875" style="3" customWidth="1"/>
    <col min="19" max="16384" width="8.6640625" style="3"/>
  </cols>
  <sheetData>
    <row r="1" spans="1:18" ht="24.9" customHeight="1" x14ac:dyDescent="0.55000000000000004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4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" customHeight="1" x14ac:dyDescent="2.15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55000000000000004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42" t="s">
        <v>10</v>
      </c>
      <c r="O4" s="142"/>
      <c r="P4" s="142"/>
      <c r="Q4" s="142"/>
      <c r="R4" s="1"/>
    </row>
    <row r="5" spans="1:18" ht="30" customHeight="1" x14ac:dyDescent="0.45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42"/>
      <c r="O5" s="142"/>
      <c r="P5" s="142"/>
      <c r="Q5" s="142"/>
      <c r="R5" s="1"/>
    </row>
    <row r="6" spans="1:18" ht="30" customHeight="1" x14ac:dyDescent="0.45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42"/>
      <c r="O6" s="142"/>
      <c r="P6" s="142"/>
      <c r="Q6" s="142"/>
      <c r="R6" s="1"/>
    </row>
    <row r="7" spans="1:18" ht="30" customHeight="1" x14ac:dyDescent="0.45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45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45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45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45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45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45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45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" customHeight="1" x14ac:dyDescent="0.55000000000000004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664062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6">
        <f ca="1">DATE(About!P8,9,1)</f>
        <v>46266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4.9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7">
        <f ca="1">C5</f>
        <v>46264</v>
      </c>
      <c r="D4" s="117"/>
      <c r="E4" s="117">
        <f ca="1">E5</f>
        <v>46265</v>
      </c>
      <c r="F4" s="117"/>
      <c r="G4" s="117">
        <f ca="1">G5</f>
        <v>46266</v>
      </c>
      <c r="H4" s="117"/>
      <c r="I4" s="117">
        <f ca="1">I5</f>
        <v>46267</v>
      </c>
      <c r="J4" s="117"/>
      <c r="K4" s="117">
        <f ca="1">K5</f>
        <v>46268</v>
      </c>
      <c r="L4" s="117"/>
      <c r="M4" s="117"/>
      <c r="N4" s="37"/>
      <c r="O4" s="117">
        <f ca="1">O5</f>
        <v>46269</v>
      </c>
      <c r="P4" s="117"/>
      <c r="Q4" s="117"/>
      <c r="R4" s="117"/>
      <c r="S4" s="117"/>
      <c r="T4" s="117"/>
      <c r="U4" s="117"/>
      <c r="V4" s="117"/>
      <c r="W4" s="117">
        <f ca="1">W5</f>
        <v>46270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4.9" customHeight="1" x14ac:dyDescent="0.55000000000000004">
      <c r="A5" s="1"/>
      <c r="C5" s="118">
        <f ca="1">$C$2-(WEEKDAY($C$2,1)-(start_day-1))-IF((WEEKDAY($C$2,1)-(start_day-1))&lt;=0,7,0)+1</f>
        <v>46264</v>
      </c>
      <c r="D5" s="120"/>
      <c r="E5" s="118">
        <f ca="1">C5+1</f>
        <v>46265</v>
      </c>
      <c r="F5" s="120"/>
      <c r="G5" s="118">
        <f ca="1">E5+1</f>
        <v>46266</v>
      </c>
      <c r="H5" s="120"/>
      <c r="I5" s="118">
        <f ca="1">G5+1</f>
        <v>46267</v>
      </c>
      <c r="J5" s="120"/>
      <c r="K5" s="118">
        <f ca="1">I5+1</f>
        <v>46268</v>
      </c>
      <c r="L5" s="119"/>
      <c r="M5" s="119"/>
      <c r="N5" s="74"/>
      <c r="O5" s="118">
        <f ca="1">K5+1</f>
        <v>46269</v>
      </c>
      <c r="P5" s="119"/>
      <c r="Q5" s="119"/>
      <c r="R5" s="119"/>
      <c r="S5" s="119"/>
      <c r="T5" s="119"/>
      <c r="U5" s="119"/>
      <c r="V5" s="120"/>
      <c r="W5" s="118">
        <f ca="1">O5+1</f>
        <v>46270</v>
      </c>
      <c r="X5" s="119"/>
      <c r="Y5" s="119"/>
      <c r="Z5" s="119"/>
      <c r="AA5" s="119"/>
      <c r="AB5" s="119"/>
      <c r="AC5" s="119"/>
      <c r="AD5" s="120"/>
      <c r="AF5" s="40"/>
      <c r="AG5" s="41"/>
      <c r="AH5" s="41"/>
      <c r="AI5" s="41"/>
      <c r="AJ5" s="41"/>
    </row>
    <row r="6" spans="1:36" s="43" customFormat="1" ht="75" customHeight="1" x14ac:dyDescent="0.4">
      <c r="A6" s="42"/>
      <c r="C6" s="111"/>
      <c r="D6" s="113"/>
      <c r="E6" s="111"/>
      <c r="F6" s="113"/>
      <c r="G6" s="143"/>
      <c r="H6" s="144"/>
      <c r="I6" s="143"/>
      <c r="J6" s="144"/>
      <c r="K6" s="143"/>
      <c r="L6" s="145"/>
      <c r="M6" s="145"/>
      <c r="N6" s="144"/>
      <c r="O6" s="143"/>
      <c r="P6" s="145"/>
      <c r="Q6" s="145"/>
      <c r="R6" s="145"/>
      <c r="S6" s="145"/>
      <c r="T6" s="145"/>
      <c r="U6" s="145"/>
      <c r="V6" s="144"/>
      <c r="W6" s="143"/>
      <c r="X6" s="145"/>
      <c r="Y6" s="145"/>
      <c r="Z6" s="145"/>
      <c r="AA6" s="145"/>
      <c r="AB6" s="145"/>
      <c r="AC6" s="145"/>
      <c r="AD6" s="144"/>
      <c r="AE6" s="7"/>
      <c r="AF6" s="42"/>
    </row>
    <row r="7" spans="1:36" ht="9.9" customHeight="1" x14ac:dyDescent="0.45">
      <c r="A7" s="1"/>
      <c r="C7" s="118">
        <f ca="1">W5+1</f>
        <v>46271</v>
      </c>
      <c r="D7" s="120"/>
      <c r="E7" s="129"/>
      <c r="F7" s="130"/>
      <c r="G7" s="129"/>
      <c r="H7" s="130"/>
      <c r="I7" s="129"/>
      <c r="J7" s="130"/>
      <c r="K7" s="129"/>
      <c r="L7" s="131"/>
      <c r="M7" s="131"/>
      <c r="N7" s="75"/>
      <c r="O7" s="129"/>
      <c r="P7" s="131"/>
      <c r="Q7" s="131"/>
      <c r="R7" s="131"/>
      <c r="S7" s="131"/>
      <c r="T7" s="131"/>
      <c r="U7" s="131"/>
      <c r="V7" s="130"/>
      <c r="W7" s="129"/>
      <c r="X7" s="131"/>
      <c r="Y7" s="131"/>
      <c r="Z7" s="131"/>
      <c r="AA7" s="131"/>
      <c r="AB7" s="131"/>
      <c r="AC7" s="131"/>
      <c r="AD7" s="130"/>
      <c r="AF7" s="1"/>
    </row>
    <row r="8" spans="1:36" s="7" customFormat="1" ht="15" customHeight="1" x14ac:dyDescent="0.4">
      <c r="A8" s="4"/>
      <c r="C8" s="118"/>
      <c r="D8" s="120"/>
      <c r="E8" s="132">
        <f ca="1">C7+1</f>
        <v>46272</v>
      </c>
      <c r="F8" s="133"/>
      <c r="G8" s="132">
        <f ca="1">E8+1</f>
        <v>46273</v>
      </c>
      <c r="H8" s="133"/>
      <c r="I8" s="132">
        <f ca="1">G8+1</f>
        <v>46274</v>
      </c>
      <c r="J8" s="133"/>
      <c r="K8" s="132">
        <f ca="1">I8+1</f>
        <v>46275</v>
      </c>
      <c r="L8" s="134"/>
      <c r="M8" s="134"/>
      <c r="N8" s="50"/>
      <c r="O8" s="132">
        <f ca="1">K8+1</f>
        <v>46276</v>
      </c>
      <c r="P8" s="134"/>
      <c r="Q8" s="134"/>
      <c r="R8" s="134"/>
      <c r="S8" s="134"/>
      <c r="T8" s="134"/>
      <c r="U8" s="134"/>
      <c r="V8" s="133"/>
      <c r="W8" s="132">
        <f ca="1">O8+1</f>
        <v>46277</v>
      </c>
      <c r="X8" s="134"/>
      <c r="Y8" s="134"/>
      <c r="Z8" s="134"/>
      <c r="AA8" s="134"/>
      <c r="AB8" s="134"/>
      <c r="AC8" s="134"/>
      <c r="AD8" s="133"/>
      <c r="AF8" s="4"/>
    </row>
    <row r="9" spans="1:36" s="43" customFormat="1" ht="75" customHeight="1" x14ac:dyDescent="0.4">
      <c r="A9" s="42"/>
      <c r="C9" s="143"/>
      <c r="D9" s="144"/>
      <c r="E9" s="143"/>
      <c r="F9" s="144"/>
      <c r="G9" s="143"/>
      <c r="H9" s="144"/>
      <c r="I9" s="143"/>
      <c r="J9" s="144"/>
      <c r="K9" s="143"/>
      <c r="L9" s="145"/>
      <c r="M9" s="145"/>
      <c r="N9" s="144"/>
      <c r="O9" s="143"/>
      <c r="P9" s="145"/>
      <c r="Q9" s="145"/>
      <c r="R9" s="145"/>
      <c r="S9" s="145"/>
      <c r="T9" s="145"/>
      <c r="U9" s="145"/>
      <c r="V9" s="144"/>
      <c r="W9" s="143"/>
      <c r="X9" s="145"/>
      <c r="Y9" s="145"/>
      <c r="Z9" s="145"/>
      <c r="AA9" s="145"/>
      <c r="AB9" s="145"/>
      <c r="AC9" s="145"/>
      <c r="AD9" s="144"/>
      <c r="AE9" s="7"/>
      <c r="AF9" s="42"/>
    </row>
    <row r="10" spans="1:36" s="43" customFormat="1" ht="9.9" customHeight="1" x14ac:dyDescent="0.4">
      <c r="A10" s="42"/>
      <c r="C10" s="118">
        <f ca="1">W8+1</f>
        <v>46278</v>
      </c>
      <c r="D10" s="120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45">
      <c r="A11" s="4"/>
      <c r="C11" s="118"/>
      <c r="D11" s="120"/>
      <c r="E11" s="132">
        <f ca="1">C10+1</f>
        <v>46279</v>
      </c>
      <c r="F11" s="133"/>
      <c r="G11" s="132">
        <f ca="1">E11+1</f>
        <v>46280</v>
      </c>
      <c r="H11" s="133"/>
      <c r="I11" s="132">
        <f ca="1">G11+1</f>
        <v>46281</v>
      </c>
      <c r="J11" s="133"/>
      <c r="K11" s="132">
        <f ca="1">I11+1</f>
        <v>46282</v>
      </c>
      <c r="L11" s="134"/>
      <c r="M11" s="134"/>
      <c r="N11" s="50"/>
      <c r="O11" s="132">
        <f ca="1">K11+1</f>
        <v>46283</v>
      </c>
      <c r="P11" s="134"/>
      <c r="Q11" s="134"/>
      <c r="R11" s="134"/>
      <c r="S11" s="134"/>
      <c r="T11" s="134"/>
      <c r="U11" s="134"/>
      <c r="V11" s="133"/>
      <c r="W11" s="132">
        <f ca="1">O11+1</f>
        <v>46284</v>
      </c>
      <c r="X11" s="134"/>
      <c r="Y11" s="134"/>
      <c r="Z11" s="134"/>
      <c r="AA11" s="134"/>
      <c r="AB11" s="134"/>
      <c r="AC11" s="134"/>
      <c r="AD11" s="133"/>
      <c r="AF11" s="4"/>
      <c r="AJ11" s="3"/>
    </row>
    <row r="12" spans="1:36" s="43" customFormat="1" ht="75" customHeight="1" x14ac:dyDescent="0.4">
      <c r="A12" s="42"/>
      <c r="C12" s="143"/>
      <c r="D12" s="144"/>
      <c r="E12" s="143"/>
      <c r="F12" s="144"/>
      <c r="G12" s="143"/>
      <c r="H12" s="144"/>
      <c r="I12" s="143"/>
      <c r="J12" s="144"/>
      <c r="K12" s="143"/>
      <c r="L12" s="145"/>
      <c r="M12" s="145"/>
      <c r="N12" s="144"/>
      <c r="O12" s="143"/>
      <c r="P12" s="145"/>
      <c r="Q12" s="145"/>
      <c r="R12" s="145"/>
      <c r="S12" s="145"/>
      <c r="T12" s="145"/>
      <c r="U12" s="145"/>
      <c r="V12" s="144"/>
      <c r="W12" s="143"/>
      <c r="X12" s="145"/>
      <c r="Y12" s="145"/>
      <c r="Z12" s="145"/>
      <c r="AA12" s="145"/>
      <c r="AB12" s="145"/>
      <c r="AC12" s="145"/>
      <c r="AD12" s="144"/>
      <c r="AE12" s="7"/>
      <c r="AF12" s="42"/>
    </row>
    <row r="13" spans="1:36" s="43" customFormat="1" ht="9.9" customHeight="1" x14ac:dyDescent="0.4">
      <c r="A13" s="42"/>
      <c r="C13" s="118">
        <f ca="1">W11+1</f>
        <v>46285</v>
      </c>
      <c r="D13" s="120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118"/>
      <c r="D14" s="120"/>
      <c r="E14" s="132">
        <f ca="1">C13+1</f>
        <v>46286</v>
      </c>
      <c r="F14" s="133"/>
      <c r="G14" s="132">
        <f ca="1">E14+1</f>
        <v>46287</v>
      </c>
      <c r="H14" s="133"/>
      <c r="I14" s="132">
        <f ca="1">G14+1</f>
        <v>46288</v>
      </c>
      <c r="J14" s="133"/>
      <c r="K14" s="132">
        <f ca="1">I14+1</f>
        <v>46289</v>
      </c>
      <c r="L14" s="134"/>
      <c r="M14" s="134"/>
      <c r="N14" s="50"/>
      <c r="O14" s="132">
        <f ca="1">K14+1</f>
        <v>46290</v>
      </c>
      <c r="P14" s="134"/>
      <c r="Q14" s="134"/>
      <c r="R14" s="134"/>
      <c r="S14" s="134"/>
      <c r="T14" s="134"/>
      <c r="U14" s="134"/>
      <c r="V14" s="133"/>
      <c r="W14" s="132">
        <f ca="1">O14+1</f>
        <v>46291</v>
      </c>
      <c r="X14" s="134"/>
      <c r="Y14" s="134"/>
      <c r="Z14" s="134"/>
      <c r="AA14" s="134"/>
      <c r="AB14" s="134"/>
      <c r="AC14" s="134"/>
      <c r="AD14" s="133"/>
      <c r="AF14" s="4"/>
    </row>
    <row r="15" spans="1:36" s="43" customFormat="1" ht="162.9" customHeight="1" x14ac:dyDescent="0.4">
      <c r="A15" s="42"/>
      <c r="C15" s="143"/>
      <c r="D15" s="144"/>
      <c r="E15" s="143"/>
      <c r="F15" s="144"/>
      <c r="G15" s="143"/>
      <c r="H15" s="144"/>
      <c r="I15" s="123"/>
      <c r="J15" s="125"/>
      <c r="K15" s="123"/>
      <c r="L15" s="124"/>
      <c r="M15" s="124"/>
      <c r="N15" s="125"/>
      <c r="O15" s="123"/>
      <c r="P15" s="124"/>
      <c r="Q15" s="124"/>
      <c r="R15" s="124"/>
      <c r="S15" s="124"/>
      <c r="T15" s="124"/>
      <c r="U15" s="124"/>
      <c r="V15" s="125"/>
      <c r="W15" s="123"/>
      <c r="X15" s="124"/>
      <c r="Y15" s="124"/>
      <c r="Z15" s="124"/>
      <c r="AA15" s="124"/>
      <c r="AB15" s="124"/>
      <c r="AC15" s="124"/>
      <c r="AD15" s="125"/>
      <c r="AE15" s="7"/>
      <c r="AF15" s="42"/>
    </row>
    <row r="16" spans="1:36" s="43" customFormat="1" ht="9.9" customHeight="1" x14ac:dyDescent="0.4">
      <c r="A16" s="42"/>
      <c r="C16" s="118">
        <f ca="1">W14+1</f>
        <v>46292</v>
      </c>
      <c r="D16" s="120"/>
      <c r="E16" s="45"/>
      <c r="F16" s="75"/>
      <c r="G16" s="45"/>
      <c r="H16" s="75"/>
      <c r="I16" s="146"/>
      <c r="J16" s="147"/>
      <c r="K16" s="66"/>
      <c r="L16" s="68"/>
      <c r="M16" s="68"/>
      <c r="N16" s="67"/>
      <c r="O16" s="146"/>
      <c r="P16" s="148"/>
      <c r="Q16" s="148"/>
      <c r="R16" s="148"/>
      <c r="S16" s="148"/>
      <c r="T16" s="148"/>
      <c r="U16" s="148"/>
      <c r="V16" s="147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8"/>
      <c r="D17" s="120"/>
      <c r="E17" s="132">
        <f ca="1">C16+1</f>
        <v>46293</v>
      </c>
      <c r="F17" s="133"/>
      <c r="G17" s="132">
        <f ca="1">E17+1</f>
        <v>46294</v>
      </c>
      <c r="H17" s="133"/>
      <c r="I17" s="132">
        <f ca="1">G17+1</f>
        <v>46295</v>
      </c>
      <c r="J17" s="133"/>
      <c r="K17" s="46">
        <f ca="1">I17+1</f>
        <v>46296</v>
      </c>
      <c r="L17" s="51"/>
      <c r="M17" s="51"/>
      <c r="N17" s="69"/>
      <c r="O17" s="132">
        <f ca="1">K17+1</f>
        <v>46297</v>
      </c>
      <c r="P17" s="134"/>
      <c r="Q17" s="134"/>
      <c r="R17" s="134"/>
      <c r="S17" s="134"/>
      <c r="T17" s="134"/>
      <c r="U17" s="134"/>
      <c r="V17" s="133"/>
      <c r="W17" s="132">
        <f ca="1">O17+1</f>
        <v>46298</v>
      </c>
      <c r="X17" s="134"/>
      <c r="Y17" s="134"/>
      <c r="Z17" s="134"/>
      <c r="AA17" s="134"/>
      <c r="AB17" s="134"/>
      <c r="AC17" s="134"/>
      <c r="AD17" s="133"/>
      <c r="AF17" s="4"/>
    </row>
    <row r="18" spans="1:42" s="43" customFormat="1" ht="147.30000000000001" customHeight="1" x14ac:dyDescent="0.45">
      <c r="A18" s="42"/>
      <c r="C18" s="126" t="s">
        <v>19</v>
      </c>
      <c r="D18" s="128"/>
      <c r="E18" s="123"/>
      <c r="F18" s="125"/>
      <c r="G18" s="123"/>
      <c r="H18" s="125"/>
      <c r="I18" s="126" t="s">
        <v>17</v>
      </c>
      <c r="J18" s="128"/>
      <c r="K18" s="70"/>
      <c r="L18" s="71"/>
      <c r="M18" s="71"/>
      <c r="N18" s="72"/>
      <c r="O18" s="111"/>
      <c r="P18" s="112"/>
      <c r="Q18" s="112"/>
      <c r="R18" s="112"/>
      <c r="S18" s="112"/>
      <c r="T18" s="112"/>
      <c r="U18" s="112"/>
      <c r="V18" s="113"/>
      <c r="W18" s="111"/>
      <c r="X18" s="112"/>
      <c r="Y18" s="112"/>
      <c r="Z18" s="112"/>
      <c r="AA18" s="112"/>
      <c r="AB18" s="112"/>
      <c r="AC18" s="112"/>
      <c r="AD18" s="113"/>
      <c r="AE18" s="7"/>
      <c r="AF18" s="42"/>
      <c r="AP18" s="3"/>
    </row>
    <row r="19" spans="1:42" s="43" customFormat="1" ht="9.9" customHeight="1" x14ac:dyDescent="0.4">
      <c r="A19" s="42"/>
      <c r="C19" s="118">
        <f ca="1">W17+1</f>
        <v>46299</v>
      </c>
      <c r="D19" s="120"/>
      <c r="E19" s="45"/>
      <c r="F19" s="75"/>
      <c r="G19" s="45"/>
      <c r="H19" s="75"/>
      <c r="I19" s="146"/>
      <c r="J19" s="147"/>
      <c r="K19" s="66"/>
      <c r="L19" s="68"/>
      <c r="M19" s="68"/>
      <c r="N19" s="67"/>
      <c r="O19" s="146"/>
      <c r="P19" s="148"/>
      <c r="Q19" s="148"/>
      <c r="R19" s="148"/>
      <c r="S19" s="148"/>
      <c r="T19" s="148"/>
      <c r="U19" s="148"/>
      <c r="V19" s="147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8"/>
      <c r="D20" s="120"/>
      <c r="E20" s="132">
        <f ca="1">C19+1</f>
        <v>46300</v>
      </c>
      <c r="F20" s="133"/>
      <c r="G20" s="132">
        <f ca="1">E20+1</f>
        <v>46301</v>
      </c>
      <c r="H20" s="133"/>
      <c r="I20" s="132">
        <f ca="1">G20+1</f>
        <v>46302</v>
      </c>
      <c r="J20" s="133"/>
      <c r="K20" s="46">
        <f ca="1">I20+1</f>
        <v>46303</v>
      </c>
      <c r="L20" s="51"/>
      <c r="M20" s="51"/>
      <c r="N20" s="69"/>
      <c r="O20" s="132">
        <f ca="1">K20+1</f>
        <v>46304</v>
      </c>
      <c r="P20" s="134"/>
      <c r="Q20" s="134"/>
      <c r="R20" s="134"/>
      <c r="S20" s="134"/>
      <c r="T20" s="134"/>
      <c r="U20" s="134"/>
      <c r="V20" s="133"/>
      <c r="W20" s="132">
        <f ca="1">O20+1</f>
        <v>46305</v>
      </c>
      <c r="X20" s="134"/>
      <c r="Y20" s="134"/>
      <c r="Z20" s="134"/>
      <c r="AA20" s="134"/>
      <c r="AB20" s="134"/>
      <c r="AC20" s="134"/>
      <c r="AD20" s="133"/>
      <c r="AF20" s="4"/>
    </row>
    <row r="21" spans="1:42" s="43" customFormat="1" ht="166.8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70"/>
      <c r="L21" s="71"/>
      <c r="M21" s="71"/>
      <c r="N21" s="72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139" t="s">
        <v>0</v>
      </c>
      <c r="D25" s="139"/>
      <c r="E25" s="139"/>
      <c r="F25" s="139"/>
      <c r="G25" s="139"/>
      <c r="H25" s="139"/>
      <c r="I25" s="139"/>
      <c r="J25" s="139"/>
      <c r="K25" s="139"/>
      <c r="L25" s="60"/>
      <c r="M25" s="1"/>
      <c r="O25" s="140">
        <f ca="1">DATE(YEAR(C2),MONTH(C2)-1,1)</f>
        <v>46235</v>
      </c>
      <c r="P25" s="140"/>
      <c r="Q25" s="140"/>
      <c r="R25" s="140"/>
      <c r="S25" s="140"/>
      <c r="T25" s="140"/>
      <c r="U25" s="140"/>
      <c r="V25" s="61"/>
      <c r="W25" s="61"/>
      <c r="X25" s="140">
        <f ca="1">DATE(YEAR(C2),MONTH(C2)+1,1)</f>
        <v>46296</v>
      </c>
      <c r="Y25" s="140"/>
      <c r="Z25" s="140"/>
      <c r="AA25" s="140"/>
      <c r="AB25" s="140"/>
      <c r="AC25" s="140"/>
      <c r="AD25" s="140"/>
      <c r="AF25" s="1"/>
    </row>
    <row r="26" spans="1:42" ht="15" customHeight="1" x14ac:dyDescent="0.45">
      <c r="A26" s="1"/>
      <c r="C26" s="139"/>
      <c r="D26" s="139"/>
      <c r="E26" s="139"/>
      <c r="F26" s="139"/>
      <c r="G26" s="139"/>
      <c r="H26" s="139"/>
      <c r="I26" s="139"/>
      <c r="J26" s="139"/>
      <c r="K26" s="139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15" t="s">
        <v>21</v>
      </c>
      <c r="D27" s="115"/>
      <c r="E27" s="115"/>
      <c r="F27" s="115"/>
      <c r="G27" s="115"/>
      <c r="H27" s="115"/>
      <c r="I27" s="115"/>
      <c r="J27" s="115"/>
      <c r="K27" s="115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45">
      <c r="A28" s="1"/>
      <c r="C28" s="114" t="s">
        <v>22</v>
      </c>
      <c r="D28" s="114"/>
      <c r="E28" s="114"/>
      <c r="F28" s="114"/>
      <c r="G28" s="114"/>
      <c r="H28" s="114"/>
      <c r="I28" s="114"/>
      <c r="J28" s="114"/>
      <c r="K28" s="114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45">
      <c r="A29" s="1"/>
      <c r="C29" s="115"/>
      <c r="D29" s="115"/>
      <c r="E29" s="115"/>
      <c r="F29" s="115"/>
      <c r="G29" s="115"/>
      <c r="H29" s="115"/>
      <c r="I29" s="115"/>
      <c r="J29" s="115"/>
      <c r="K29" s="115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45">
      <c r="A30" s="1"/>
      <c r="C30" s="114" t="s">
        <v>23</v>
      </c>
      <c r="D30" s="114"/>
      <c r="E30" s="114"/>
      <c r="F30" s="114"/>
      <c r="G30" s="114"/>
      <c r="H30" s="114"/>
      <c r="I30" s="114"/>
      <c r="J30" s="114"/>
      <c r="K30" s="114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45">
      <c r="A31" s="1"/>
      <c r="C31" s="115"/>
      <c r="D31" s="115"/>
      <c r="E31" s="115"/>
      <c r="F31" s="115"/>
      <c r="G31" s="115"/>
      <c r="H31" s="115"/>
      <c r="I31" s="115"/>
      <c r="J31" s="115"/>
      <c r="K31" s="115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x14ac:dyDescent="0.45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2.9" thickBot="1" x14ac:dyDescent="0.5"/>
    <row r="39" spans="1:32" ht="12.6" customHeight="1" x14ac:dyDescent="0.45">
      <c r="D39" s="83" t="s">
        <v>24</v>
      </c>
      <c r="E39" s="84"/>
      <c r="F39" s="85"/>
      <c r="G39" s="89">
        <f ca="1">ROUNDDOWN((DATE(2026,11,13)-TODAY())/7,0)</f>
        <v>5</v>
      </c>
      <c r="H39" s="90"/>
      <c r="I39" s="83" t="s">
        <v>27</v>
      </c>
      <c r="J39" s="93"/>
      <c r="K39" s="95" t="s">
        <v>25</v>
      </c>
      <c r="L39" s="96"/>
      <c r="M39" s="99">
        <f ca="1">7*(((DATE(2026,11,13)-TODAY())/7)-ROUNDDOWN((DATE(2026,11,13)-TODAY())/7,0))</f>
        <v>5.9999999999999973</v>
      </c>
      <c r="N39" s="100"/>
      <c r="O39" s="100"/>
      <c r="P39" s="100"/>
      <c r="Q39" s="100"/>
      <c r="R39" s="101"/>
      <c r="S39" s="105" t="s">
        <v>26</v>
      </c>
      <c r="T39" s="106"/>
      <c r="U39" s="106"/>
      <c r="V39" s="106"/>
      <c r="W39" s="106"/>
      <c r="X39" s="107"/>
    </row>
    <row r="40" spans="1:32" ht="12.9" customHeight="1" thickBot="1" x14ac:dyDescent="0.5">
      <c r="D40" s="86"/>
      <c r="E40" s="87"/>
      <c r="F40" s="88"/>
      <c r="G40" s="91"/>
      <c r="H40" s="92"/>
      <c r="I40" s="86"/>
      <c r="J40" s="94"/>
      <c r="K40" s="97"/>
      <c r="L40" s="98"/>
      <c r="M40" s="102"/>
      <c r="N40" s="103"/>
      <c r="O40" s="103"/>
      <c r="P40" s="103"/>
      <c r="Q40" s="103"/>
      <c r="R40" s="104"/>
      <c r="S40" s="108"/>
      <c r="T40" s="109"/>
      <c r="U40" s="109"/>
      <c r="V40" s="109"/>
      <c r="W40" s="109"/>
      <c r="X40" s="110"/>
    </row>
  </sheetData>
  <mergeCells count="110"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opLeftCell="A12" zoomScaleNormal="100" workbookViewId="0">
      <selection activeCell="K12" sqref="K12:N12"/>
    </sheetView>
  </sheetViews>
  <sheetFormatPr defaultColWidth="8.664062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6">
        <f ca="1">DATE(About!P8,10,1)</f>
        <v>46296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4.9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7">
        <f ca="1">C5</f>
        <v>46292</v>
      </c>
      <c r="D4" s="117"/>
      <c r="E4" s="117">
        <f ca="1">E5</f>
        <v>46293</v>
      </c>
      <c r="F4" s="117"/>
      <c r="G4" s="117">
        <f ca="1">G5</f>
        <v>46294</v>
      </c>
      <c r="H4" s="117"/>
      <c r="I4" s="117">
        <f ca="1">I5</f>
        <v>46295</v>
      </c>
      <c r="J4" s="117"/>
      <c r="K4" s="117">
        <f ca="1">K5</f>
        <v>46296</v>
      </c>
      <c r="L4" s="117"/>
      <c r="M4" s="117"/>
      <c r="N4" s="37"/>
      <c r="O4" s="117">
        <f ca="1">O5</f>
        <v>46297</v>
      </c>
      <c r="P4" s="117"/>
      <c r="Q4" s="117"/>
      <c r="R4" s="117"/>
      <c r="S4" s="117"/>
      <c r="T4" s="117"/>
      <c r="U4" s="117"/>
      <c r="V4" s="117"/>
      <c r="W4" s="117">
        <f ca="1">W5</f>
        <v>46298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4.9" customHeight="1" x14ac:dyDescent="0.55000000000000004">
      <c r="A5" s="1"/>
      <c r="C5" s="118">
        <f ca="1">$C$2-(WEEKDAY($C$2,1)-(start_day-1))-IF((WEEKDAY($C$2,1)-(start_day-1))&lt;=0,7,0)+1</f>
        <v>46292</v>
      </c>
      <c r="D5" s="120"/>
      <c r="E5" s="118">
        <f ca="1">C5+1</f>
        <v>46293</v>
      </c>
      <c r="F5" s="120"/>
      <c r="G5" s="118">
        <f ca="1">E5+1</f>
        <v>46294</v>
      </c>
      <c r="H5" s="120"/>
      <c r="I5" s="118">
        <f ca="1">G5+1</f>
        <v>46295</v>
      </c>
      <c r="J5" s="120"/>
      <c r="K5" s="118">
        <f ca="1">I5+1</f>
        <v>46296</v>
      </c>
      <c r="L5" s="119"/>
      <c r="M5" s="119"/>
      <c r="N5" s="74"/>
      <c r="O5" s="118">
        <f ca="1">K5+1</f>
        <v>46297</v>
      </c>
      <c r="P5" s="119"/>
      <c r="Q5" s="119"/>
      <c r="R5" s="119"/>
      <c r="S5" s="119"/>
      <c r="T5" s="119"/>
      <c r="U5" s="119"/>
      <c r="V5" s="120"/>
      <c r="W5" s="118">
        <f ca="1">O5+1</f>
        <v>46298</v>
      </c>
      <c r="X5" s="119"/>
      <c r="Y5" s="119"/>
      <c r="Z5" s="119"/>
      <c r="AA5" s="119"/>
      <c r="AB5" s="119"/>
      <c r="AC5" s="119"/>
      <c r="AD5" s="120"/>
      <c r="AF5" s="40"/>
      <c r="AG5" s="41"/>
      <c r="AH5" s="41"/>
      <c r="AI5" s="41"/>
      <c r="AJ5" s="41"/>
    </row>
    <row r="6" spans="1:36" s="43" customFormat="1" ht="131.69999999999999" customHeight="1" x14ac:dyDescent="0.4">
      <c r="A6" s="42"/>
      <c r="C6" s="121"/>
      <c r="D6" s="122"/>
      <c r="E6" s="121"/>
      <c r="F6" s="122"/>
      <c r="G6" s="121"/>
      <c r="H6" s="122"/>
      <c r="I6" s="121"/>
      <c r="J6" s="122"/>
      <c r="K6" s="123"/>
      <c r="L6" s="124"/>
      <c r="M6" s="124"/>
      <c r="N6" s="125"/>
      <c r="O6" s="123"/>
      <c r="P6" s="124"/>
      <c r="Q6" s="124"/>
      <c r="R6" s="124"/>
      <c r="S6" s="124"/>
      <c r="T6" s="124"/>
      <c r="U6" s="124"/>
      <c r="V6" s="125"/>
      <c r="W6" s="126" t="s">
        <v>20</v>
      </c>
      <c r="X6" s="127"/>
      <c r="Y6" s="127"/>
      <c r="Z6" s="127"/>
      <c r="AA6" s="127"/>
      <c r="AB6" s="127"/>
      <c r="AC6" s="127"/>
      <c r="AD6" s="128"/>
      <c r="AE6" s="7"/>
      <c r="AF6" s="42"/>
    </row>
    <row r="7" spans="1:36" ht="9.9" customHeight="1" x14ac:dyDescent="0.45">
      <c r="A7" s="1"/>
      <c r="C7" s="118">
        <f ca="1">W5+1</f>
        <v>46299</v>
      </c>
      <c r="D7" s="120"/>
      <c r="E7" s="129"/>
      <c r="F7" s="130"/>
      <c r="G7" s="129"/>
      <c r="H7" s="130"/>
      <c r="I7" s="129"/>
      <c r="J7" s="130"/>
      <c r="K7" s="129"/>
      <c r="L7" s="131"/>
      <c r="M7" s="131"/>
      <c r="N7" s="75"/>
      <c r="O7" s="129"/>
      <c r="P7" s="131"/>
      <c r="Q7" s="131"/>
      <c r="R7" s="131"/>
      <c r="S7" s="131"/>
      <c r="T7" s="131"/>
      <c r="U7" s="131"/>
      <c r="V7" s="130"/>
      <c r="W7" s="129"/>
      <c r="X7" s="131"/>
      <c r="Y7" s="131"/>
      <c r="Z7" s="131"/>
      <c r="AA7" s="131"/>
      <c r="AB7" s="131"/>
      <c r="AC7" s="131"/>
      <c r="AD7" s="130"/>
      <c r="AF7" s="1"/>
    </row>
    <row r="8" spans="1:36" s="7" customFormat="1" ht="15" customHeight="1" x14ac:dyDescent="0.4">
      <c r="A8" s="4"/>
      <c r="C8" s="118"/>
      <c r="D8" s="120"/>
      <c r="E8" s="132">
        <f ca="1">C7+1</f>
        <v>46300</v>
      </c>
      <c r="F8" s="133"/>
      <c r="G8" s="132">
        <f ca="1">E8+1</f>
        <v>46301</v>
      </c>
      <c r="H8" s="133"/>
      <c r="I8" s="132">
        <f ca="1">G8+1</f>
        <v>46302</v>
      </c>
      <c r="J8" s="133"/>
      <c r="K8" s="132">
        <f ca="1">I8+1</f>
        <v>46303</v>
      </c>
      <c r="L8" s="134"/>
      <c r="M8" s="134"/>
      <c r="N8" s="50"/>
      <c r="O8" s="132">
        <f ca="1">K8+1</f>
        <v>46304</v>
      </c>
      <c r="P8" s="134"/>
      <c r="Q8" s="134"/>
      <c r="R8" s="134"/>
      <c r="S8" s="134"/>
      <c r="T8" s="134"/>
      <c r="U8" s="134"/>
      <c r="V8" s="133"/>
      <c r="W8" s="132">
        <f ca="1">O8+1</f>
        <v>46305</v>
      </c>
      <c r="X8" s="134"/>
      <c r="Y8" s="134"/>
      <c r="Z8" s="134"/>
      <c r="AA8" s="134"/>
      <c r="AB8" s="134"/>
      <c r="AC8" s="134"/>
      <c r="AD8" s="133"/>
      <c r="AF8" s="4"/>
    </row>
    <row r="9" spans="1:36" s="43" customFormat="1" ht="149.69999999999999" customHeight="1" x14ac:dyDescent="0.4">
      <c r="A9" s="42"/>
      <c r="C9" s="135"/>
      <c r="D9" s="137"/>
      <c r="E9" s="135" t="s">
        <v>29</v>
      </c>
      <c r="F9" s="137"/>
      <c r="G9" s="135" t="s">
        <v>28</v>
      </c>
      <c r="H9" s="137"/>
      <c r="I9" s="135"/>
      <c r="J9" s="137"/>
      <c r="K9" s="135" t="s">
        <v>30</v>
      </c>
      <c r="L9" s="136"/>
      <c r="M9" s="136"/>
      <c r="N9" s="137"/>
      <c r="O9" s="135" t="s">
        <v>32</v>
      </c>
      <c r="P9" s="136"/>
      <c r="Q9" s="136"/>
      <c r="R9" s="136"/>
      <c r="S9" s="136"/>
      <c r="T9" s="136"/>
      <c r="U9" s="136"/>
      <c r="V9" s="137"/>
      <c r="W9" s="135"/>
      <c r="X9" s="136"/>
      <c r="Y9" s="136"/>
      <c r="Z9" s="136"/>
      <c r="AA9" s="136"/>
      <c r="AB9" s="136"/>
      <c r="AC9" s="136"/>
      <c r="AD9" s="137"/>
      <c r="AE9" s="7"/>
      <c r="AF9" s="42"/>
    </row>
    <row r="10" spans="1:36" s="43" customFormat="1" ht="9.9" customHeight="1" x14ac:dyDescent="0.4">
      <c r="A10" s="42"/>
      <c r="C10" s="118">
        <f ca="1">W8+1</f>
        <v>46306</v>
      </c>
      <c r="D10" s="120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45">
      <c r="A11" s="4"/>
      <c r="C11" s="118"/>
      <c r="D11" s="120"/>
      <c r="E11" s="132">
        <f ca="1">C10+1</f>
        <v>46307</v>
      </c>
      <c r="F11" s="133"/>
      <c r="G11" s="132">
        <f ca="1">E11+1</f>
        <v>46308</v>
      </c>
      <c r="H11" s="133"/>
      <c r="I11" s="132">
        <f ca="1">G11+1</f>
        <v>46309</v>
      </c>
      <c r="J11" s="133"/>
      <c r="K11" s="132">
        <f ca="1">I11+1</f>
        <v>46310</v>
      </c>
      <c r="L11" s="134"/>
      <c r="M11" s="134"/>
      <c r="N11" s="50"/>
      <c r="O11" s="132">
        <f ca="1">K11+1</f>
        <v>46311</v>
      </c>
      <c r="P11" s="134"/>
      <c r="Q11" s="134"/>
      <c r="R11" s="134"/>
      <c r="S11" s="134"/>
      <c r="T11" s="134"/>
      <c r="U11" s="134"/>
      <c r="V11" s="133"/>
      <c r="W11" s="132">
        <f ca="1">O11+1</f>
        <v>46312</v>
      </c>
      <c r="X11" s="134"/>
      <c r="Y11" s="134"/>
      <c r="Z11" s="134"/>
      <c r="AA11" s="134"/>
      <c r="AB11" s="134"/>
      <c r="AC11" s="134"/>
      <c r="AD11" s="133"/>
      <c r="AF11" s="4"/>
      <c r="AJ11" s="3"/>
    </row>
    <row r="12" spans="1:36" s="43" customFormat="1" ht="134.69999999999999" customHeight="1" x14ac:dyDescent="0.4">
      <c r="A12" s="42"/>
      <c r="C12" s="135"/>
      <c r="D12" s="137"/>
      <c r="E12" s="135"/>
      <c r="F12" s="137"/>
      <c r="G12" s="135"/>
      <c r="H12" s="137"/>
      <c r="I12" s="135"/>
      <c r="J12" s="137"/>
      <c r="K12" s="135"/>
      <c r="L12" s="136"/>
      <c r="M12" s="136"/>
      <c r="N12" s="137"/>
      <c r="O12" s="135" t="s">
        <v>41</v>
      </c>
      <c r="P12" s="136"/>
      <c r="Q12" s="136"/>
      <c r="R12" s="136"/>
      <c r="S12" s="136"/>
      <c r="T12" s="136"/>
      <c r="U12" s="136"/>
      <c r="V12" s="137"/>
      <c r="W12" s="138" t="s">
        <v>31</v>
      </c>
      <c r="X12" s="136"/>
      <c r="Y12" s="136"/>
      <c r="Z12" s="136"/>
      <c r="AA12" s="136"/>
      <c r="AB12" s="136"/>
      <c r="AC12" s="136"/>
      <c r="AD12" s="137"/>
      <c r="AE12" s="7"/>
      <c r="AF12" s="42"/>
    </row>
    <row r="13" spans="1:36" s="43" customFormat="1" ht="9.9" customHeight="1" x14ac:dyDescent="0.4">
      <c r="A13" s="42"/>
      <c r="C13" s="118">
        <f ca="1">W11+1</f>
        <v>46313</v>
      </c>
      <c r="D13" s="120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118"/>
      <c r="D14" s="120"/>
      <c r="E14" s="132">
        <f ca="1">C13+1</f>
        <v>46314</v>
      </c>
      <c r="F14" s="133"/>
      <c r="G14" s="132">
        <f ca="1">E14+1</f>
        <v>46315</v>
      </c>
      <c r="H14" s="133"/>
      <c r="I14" s="132">
        <f ca="1">G14+1</f>
        <v>46316</v>
      </c>
      <c r="J14" s="133"/>
      <c r="K14" s="132">
        <f ca="1">I14+1</f>
        <v>46317</v>
      </c>
      <c r="L14" s="134"/>
      <c r="M14" s="134"/>
      <c r="N14" s="50"/>
      <c r="O14" s="132">
        <f ca="1">K14+1</f>
        <v>46318</v>
      </c>
      <c r="P14" s="134"/>
      <c r="Q14" s="134"/>
      <c r="R14" s="134"/>
      <c r="S14" s="134"/>
      <c r="T14" s="134"/>
      <c r="U14" s="134"/>
      <c r="V14" s="133"/>
      <c r="W14" s="132">
        <f ca="1">O14+1</f>
        <v>46319</v>
      </c>
      <c r="X14" s="134"/>
      <c r="Y14" s="134"/>
      <c r="Z14" s="134"/>
      <c r="AA14" s="134"/>
      <c r="AB14" s="134"/>
      <c r="AC14" s="134"/>
      <c r="AD14" s="133"/>
      <c r="AF14" s="4"/>
    </row>
    <row r="15" spans="1:36" s="43" customFormat="1" ht="140.69999999999999" customHeight="1" x14ac:dyDescent="0.4">
      <c r="A15" s="42"/>
      <c r="C15" s="138" t="s">
        <v>33</v>
      </c>
      <c r="D15" s="137"/>
      <c r="E15" s="135"/>
      <c r="F15" s="137"/>
      <c r="G15" s="135"/>
      <c r="H15" s="137"/>
      <c r="I15" s="138" t="s">
        <v>37</v>
      </c>
      <c r="J15" s="137"/>
      <c r="K15" s="135"/>
      <c r="L15" s="136"/>
      <c r="M15" s="136"/>
      <c r="N15" s="137"/>
      <c r="O15" s="135" t="s">
        <v>35</v>
      </c>
      <c r="P15" s="136"/>
      <c r="Q15" s="136"/>
      <c r="R15" s="136"/>
      <c r="S15" s="136"/>
      <c r="T15" s="136"/>
      <c r="U15" s="136"/>
      <c r="V15" s="137"/>
      <c r="W15" s="138" t="s">
        <v>36</v>
      </c>
      <c r="X15" s="136"/>
      <c r="Y15" s="136"/>
      <c r="Z15" s="136"/>
      <c r="AA15" s="136"/>
      <c r="AB15" s="136"/>
      <c r="AC15" s="136"/>
      <c r="AD15" s="137"/>
      <c r="AE15" s="7"/>
      <c r="AF15" s="42"/>
    </row>
    <row r="16" spans="1:36" s="43" customFormat="1" ht="9.9" customHeight="1" x14ac:dyDescent="0.4">
      <c r="A16" s="42"/>
      <c r="C16" s="118">
        <f ca="1">W14+1</f>
        <v>46320</v>
      </c>
      <c r="D16" s="120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8"/>
      <c r="D17" s="120"/>
      <c r="E17" s="132">
        <f ca="1">C16+1</f>
        <v>46321</v>
      </c>
      <c r="F17" s="133"/>
      <c r="G17" s="132">
        <f ca="1">E17+1</f>
        <v>46322</v>
      </c>
      <c r="H17" s="133"/>
      <c r="I17" s="132">
        <f ca="1">G17+1</f>
        <v>46323</v>
      </c>
      <c r="J17" s="133"/>
      <c r="K17" s="132">
        <f ca="1">I17+1</f>
        <v>46324</v>
      </c>
      <c r="L17" s="134"/>
      <c r="M17" s="134"/>
      <c r="N17" s="50"/>
      <c r="O17" s="132">
        <f ca="1">K17+1</f>
        <v>46325</v>
      </c>
      <c r="P17" s="134"/>
      <c r="Q17" s="134"/>
      <c r="R17" s="134"/>
      <c r="S17" s="134"/>
      <c r="T17" s="134"/>
      <c r="U17" s="134"/>
      <c r="V17" s="133"/>
      <c r="W17" s="132">
        <f ca="1">O17+1</f>
        <v>46326</v>
      </c>
      <c r="X17" s="134"/>
      <c r="Y17" s="134"/>
      <c r="Z17" s="134"/>
      <c r="AA17" s="134"/>
      <c r="AB17" s="134"/>
      <c r="AC17" s="134"/>
      <c r="AD17" s="133"/>
      <c r="AF17" s="4"/>
    </row>
    <row r="18" spans="1:42" s="43" customFormat="1" ht="149.69999999999999" customHeight="1" x14ac:dyDescent="0.45">
      <c r="A18" s="42"/>
      <c r="C18" s="135"/>
      <c r="D18" s="137"/>
      <c r="E18" s="135" t="s">
        <v>34</v>
      </c>
      <c r="F18" s="137"/>
      <c r="G18" s="135"/>
      <c r="H18" s="137"/>
      <c r="I18" s="135"/>
      <c r="J18" s="137"/>
      <c r="K18" s="141" t="s">
        <v>38</v>
      </c>
      <c r="L18" s="136"/>
      <c r="M18" s="136"/>
      <c r="N18" s="82"/>
      <c r="O18" s="135"/>
      <c r="P18" s="136"/>
      <c r="Q18" s="136"/>
      <c r="R18" s="136"/>
      <c r="S18" s="136"/>
      <c r="T18" s="136"/>
      <c r="U18" s="136"/>
      <c r="V18" s="137"/>
      <c r="W18" s="135"/>
      <c r="X18" s="136"/>
      <c r="Y18" s="136"/>
      <c r="Z18" s="136"/>
      <c r="AA18" s="136"/>
      <c r="AB18" s="136"/>
      <c r="AC18" s="136"/>
      <c r="AD18" s="137"/>
      <c r="AE18" s="7"/>
      <c r="AF18" s="42"/>
      <c r="AP18" s="3"/>
    </row>
    <row r="19" spans="1:42" s="43" customFormat="1" ht="9.9" customHeight="1" x14ac:dyDescent="0.4">
      <c r="A19" s="42"/>
      <c r="C19" s="118">
        <f ca="1">W17+1</f>
        <v>46327</v>
      </c>
      <c r="D19" s="120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8"/>
      <c r="D20" s="120"/>
      <c r="E20" s="132">
        <f ca="1">C19+1</f>
        <v>46328</v>
      </c>
      <c r="F20" s="133"/>
      <c r="G20" s="132">
        <f ca="1">E20+1</f>
        <v>46329</v>
      </c>
      <c r="H20" s="133"/>
      <c r="I20" s="132">
        <f ca="1">G20+1</f>
        <v>46330</v>
      </c>
      <c r="J20" s="133"/>
      <c r="K20" s="132">
        <f ca="1">I20+1</f>
        <v>46331</v>
      </c>
      <c r="L20" s="134"/>
      <c r="M20" s="134"/>
      <c r="N20" s="50"/>
      <c r="O20" s="132">
        <f ca="1">K20+1</f>
        <v>46332</v>
      </c>
      <c r="P20" s="134"/>
      <c r="Q20" s="134"/>
      <c r="R20" s="134"/>
      <c r="S20" s="134"/>
      <c r="T20" s="134"/>
      <c r="U20" s="134"/>
      <c r="V20" s="133"/>
      <c r="W20" s="132">
        <f ca="1">O20+1</f>
        <v>46333</v>
      </c>
      <c r="X20" s="134"/>
      <c r="Y20" s="134"/>
      <c r="Z20" s="134"/>
      <c r="AA20" s="134"/>
      <c r="AB20" s="134"/>
      <c r="AC20" s="134"/>
      <c r="AD20" s="133"/>
      <c r="AF20" s="4"/>
    </row>
    <row r="21" spans="1:42" s="43" customFormat="1" ht="7.5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111"/>
      <c r="L21" s="112"/>
      <c r="M21" s="112"/>
      <c r="N21" s="44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139" t="s">
        <v>0</v>
      </c>
      <c r="D25" s="139"/>
      <c r="E25" s="139"/>
      <c r="F25" s="139"/>
      <c r="G25" s="139"/>
      <c r="H25" s="139"/>
      <c r="I25" s="139"/>
      <c r="J25" s="139"/>
      <c r="K25" s="139"/>
      <c r="L25" s="60"/>
      <c r="M25" s="1"/>
      <c r="O25" s="140">
        <f ca="1">DATE(YEAR(C2),MONTH(C2)-1,1)</f>
        <v>46266</v>
      </c>
      <c r="P25" s="140"/>
      <c r="Q25" s="140"/>
      <c r="R25" s="140"/>
      <c r="S25" s="140"/>
      <c r="T25" s="140"/>
      <c r="U25" s="140"/>
      <c r="V25" s="61"/>
      <c r="W25" s="61"/>
      <c r="X25" s="140">
        <f ca="1">DATE(YEAR(C2),MONTH(C2)+1,1)</f>
        <v>46327</v>
      </c>
      <c r="Y25" s="140"/>
      <c r="Z25" s="140"/>
      <c r="AA25" s="140"/>
      <c r="AB25" s="140"/>
      <c r="AC25" s="140"/>
      <c r="AD25" s="140"/>
      <c r="AF25" s="1"/>
    </row>
    <row r="26" spans="1:42" ht="15" customHeight="1" x14ac:dyDescent="0.45">
      <c r="A26" s="1"/>
      <c r="C26" s="139"/>
      <c r="D26" s="139"/>
      <c r="E26" s="139"/>
      <c r="F26" s="139"/>
      <c r="G26" s="139"/>
      <c r="H26" s="139"/>
      <c r="I26" s="139"/>
      <c r="J26" s="139"/>
      <c r="K26" s="139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15"/>
      <c r="D27" s="115"/>
      <c r="E27" s="115"/>
      <c r="F27" s="115"/>
      <c r="G27" s="115"/>
      <c r="H27" s="115"/>
      <c r="I27" s="115"/>
      <c r="J27" s="115"/>
      <c r="K27" s="115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45">
      <c r="A28" s="1"/>
      <c r="C28" s="114"/>
      <c r="D28" s="114"/>
      <c r="E28" s="114"/>
      <c r="F28" s="114"/>
      <c r="G28" s="114"/>
      <c r="H28" s="114"/>
      <c r="I28" s="114"/>
      <c r="J28" s="114"/>
      <c r="K28" s="114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45">
      <c r="A29" s="1"/>
      <c r="C29" s="115"/>
      <c r="D29" s="115"/>
      <c r="E29" s="115"/>
      <c r="F29" s="115"/>
      <c r="G29" s="115"/>
      <c r="H29" s="115"/>
      <c r="I29" s="115"/>
      <c r="J29" s="115"/>
      <c r="K29" s="115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45">
      <c r="A30" s="1"/>
      <c r="C30" s="114"/>
      <c r="D30" s="114"/>
      <c r="E30" s="114"/>
      <c r="F30" s="114"/>
      <c r="G30" s="114"/>
      <c r="H30" s="114"/>
      <c r="I30" s="114"/>
      <c r="J30" s="114"/>
      <c r="K30" s="114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45">
      <c r="A31" s="1"/>
      <c r="C31" s="115"/>
      <c r="D31" s="115"/>
      <c r="E31" s="115"/>
      <c r="F31" s="115"/>
      <c r="G31" s="115"/>
      <c r="H31" s="115"/>
      <c r="I31" s="115"/>
      <c r="J31" s="115"/>
      <c r="K31" s="115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x14ac:dyDescent="0.45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2.9" thickBot="1" x14ac:dyDescent="0.5"/>
    <row r="39" spans="1:32" ht="12.6" customHeight="1" x14ac:dyDescent="0.45">
      <c r="D39" s="83" t="s">
        <v>24</v>
      </c>
      <c r="E39" s="84"/>
      <c r="F39" s="85"/>
      <c r="G39" s="89">
        <f ca="1">ROUNDDOWN((DATE(2026,11,13)-TODAY())/7,0)</f>
        <v>5</v>
      </c>
      <c r="H39" s="90"/>
      <c r="I39" s="83" t="s">
        <v>27</v>
      </c>
      <c r="J39" s="93"/>
      <c r="K39" s="95" t="s">
        <v>25</v>
      </c>
      <c r="L39" s="96"/>
      <c r="M39" s="99">
        <f ca="1">7*(((DATE(2026,11,13)-TODAY())/7)-ROUNDDOWN((DATE(2026,11,13)-TODAY())/7,0))</f>
        <v>5.9999999999999973</v>
      </c>
      <c r="N39" s="100"/>
      <c r="O39" s="100"/>
      <c r="P39" s="100"/>
      <c r="Q39" s="100"/>
      <c r="R39" s="101"/>
      <c r="S39" s="105" t="s">
        <v>26</v>
      </c>
      <c r="T39" s="106"/>
      <c r="U39" s="106"/>
      <c r="V39" s="106"/>
      <c r="W39" s="106"/>
      <c r="X39" s="107"/>
    </row>
    <row r="40" spans="1:32" ht="12.9" customHeight="1" thickBot="1" x14ac:dyDescent="0.5">
      <c r="D40" s="86"/>
      <c r="E40" s="87"/>
      <c r="F40" s="88"/>
      <c r="G40" s="91"/>
      <c r="H40" s="92"/>
      <c r="I40" s="86"/>
      <c r="J40" s="94"/>
      <c r="K40" s="97"/>
      <c r="L40" s="98"/>
      <c r="M40" s="102"/>
      <c r="N40" s="103"/>
      <c r="O40" s="103"/>
      <c r="P40" s="103"/>
      <c r="Q40" s="103"/>
      <c r="R40" s="104"/>
      <c r="S40" s="108"/>
      <c r="T40" s="109"/>
      <c r="U40" s="109"/>
      <c r="V40" s="109"/>
      <c r="W40" s="109"/>
      <c r="X40" s="110"/>
    </row>
  </sheetData>
  <mergeCells count="110"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tabSelected="1" topLeftCell="A3" zoomScaleNormal="100" workbookViewId="0">
      <selection activeCell="G9" sqref="G9:H9"/>
    </sheetView>
  </sheetViews>
  <sheetFormatPr defaultColWidth="8.664062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6">
        <f ca="1">DATE(About!P8,11,1)</f>
        <v>46327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4.9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7">
        <f ca="1">C5</f>
        <v>46327</v>
      </c>
      <c r="D4" s="117"/>
      <c r="E4" s="117">
        <f ca="1">E5</f>
        <v>46328</v>
      </c>
      <c r="F4" s="117"/>
      <c r="G4" s="117">
        <f ca="1">G5</f>
        <v>46329</v>
      </c>
      <c r="H4" s="117"/>
      <c r="I4" s="117">
        <f ca="1">I5</f>
        <v>46330</v>
      </c>
      <c r="J4" s="117"/>
      <c r="K4" s="117">
        <f ca="1">K5</f>
        <v>46331</v>
      </c>
      <c r="L4" s="117"/>
      <c r="M4" s="117"/>
      <c r="N4" s="37"/>
      <c r="O4" s="117">
        <f ca="1">O5</f>
        <v>46332</v>
      </c>
      <c r="P4" s="117"/>
      <c r="Q4" s="117"/>
      <c r="R4" s="117"/>
      <c r="S4" s="117"/>
      <c r="T4" s="117"/>
      <c r="U4" s="117"/>
      <c r="V4" s="117"/>
      <c r="W4" s="117">
        <f ca="1">W5</f>
        <v>46333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4.9" customHeight="1" x14ac:dyDescent="0.55000000000000004">
      <c r="A5" s="1"/>
      <c r="C5" s="118">
        <f ca="1">$C$2-(WEEKDAY($C$2,1)-(start_day-1))-IF((WEEKDAY($C$2,1)-(start_day-1))&lt;=0,7,0)+1</f>
        <v>46327</v>
      </c>
      <c r="D5" s="120"/>
      <c r="E5" s="118">
        <f ca="1">C5+1</f>
        <v>46328</v>
      </c>
      <c r="F5" s="120"/>
      <c r="G5" s="118">
        <f ca="1">E5+1</f>
        <v>46329</v>
      </c>
      <c r="H5" s="120"/>
      <c r="I5" s="118">
        <f ca="1">G5+1</f>
        <v>46330</v>
      </c>
      <c r="J5" s="120"/>
      <c r="K5" s="118">
        <f ca="1">I5+1</f>
        <v>46331</v>
      </c>
      <c r="L5" s="119"/>
      <c r="M5" s="119"/>
      <c r="N5" s="74"/>
      <c r="O5" s="118">
        <f ca="1">K5+1</f>
        <v>46332</v>
      </c>
      <c r="P5" s="119"/>
      <c r="Q5" s="119"/>
      <c r="R5" s="119"/>
      <c r="S5" s="119"/>
      <c r="T5" s="119"/>
      <c r="U5" s="119"/>
      <c r="V5" s="120"/>
      <c r="W5" s="118">
        <f ca="1">O5+1</f>
        <v>46333</v>
      </c>
      <c r="X5" s="119"/>
      <c r="Y5" s="119"/>
      <c r="Z5" s="119"/>
      <c r="AA5" s="119"/>
      <c r="AB5" s="119"/>
      <c r="AC5" s="119"/>
      <c r="AD5" s="120"/>
      <c r="AF5" s="40"/>
      <c r="AG5" s="41"/>
      <c r="AH5" s="41"/>
      <c r="AI5" s="41"/>
      <c r="AJ5" s="41"/>
    </row>
    <row r="6" spans="1:36" s="43" customFormat="1" ht="133.80000000000001" customHeight="1" x14ac:dyDescent="0.4">
      <c r="A6" s="42"/>
      <c r="C6" s="135"/>
      <c r="D6" s="137"/>
      <c r="E6" s="141" t="s">
        <v>39</v>
      </c>
      <c r="F6" s="137"/>
      <c r="G6" s="135"/>
      <c r="H6" s="137"/>
      <c r="I6" s="135"/>
      <c r="J6" s="137"/>
      <c r="K6" s="135"/>
      <c r="L6" s="136"/>
      <c r="M6" s="136"/>
      <c r="N6" s="137"/>
      <c r="O6" s="141" t="s">
        <v>40</v>
      </c>
      <c r="P6" s="136"/>
      <c r="Q6" s="136"/>
      <c r="R6" s="136"/>
      <c r="S6" s="136"/>
      <c r="T6" s="136"/>
      <c r="U6" s="136"/>
      <c r="V6" s="137"/>
      <c r="W6" s="135"/>
      <c r="X6" s="136"/>
      <c r="Y6" s="136"/>
      <c r="Z6" s="136"/>
      <c r="AA6" s="136"/>
      <c r="AB6" s="136"/>
      <c r="AC6" s="136"/>
      <c r="AD6" s="137"/>
      <c r="AE6" s="7"/>
      <c r="AF6" s="42"/>
    </row>
    <row r="7" spans="1:36" ht="9.9" customHeight="1" x14ac:dyDescent="0.45">
      <c r="A7" s="1"/>
      <c r="C7" s="149">
        <f ca="1">W5+1</f>
        <v>46334</v>
      </c>
      <c r="D7" s="150"/>
      <c r="E7" s="151"/>
      <c r="F7" s="152"/>
      <c r="G7" s="151"/>
      <c r="H7" s="152"/>
      <c r="I7" s="151"/>
      <c r="J7" s="152"/>
      <c r="K7" s="151"/>
      <c r="L7" s="153"/>
      <c r="M7" s="153"/>
      <c r="N7" s="80"/>
      <c r="O7" s="151"/>
      <c r="P7" s="153"/>
      <c r="Q7" s="153"/>
      <c r="R7" s="153"/>
      <c r="S7" s="153"/>
      <c r="T7" s="153"/>
      <c r="U7" s="153"/>
      <c r="V7" s="152"/>
      <c r="W7" s="151"/>
      <c r="X7" s="153"/>
      <c r="Y7" s="153"/>
      <c r="Z7" s="153"/>
      <c r="AA7" s="153"/>
      <c r="AB7" s="153"/>
      <c r="AC7" s="153"/>
      <c r="AD7" s="152"/>
      <c r="AF7" s="1"/>
    </row>
    <row r="8" spans="1:36" s="7" customFormat="1" ht="15" customHeight="1" x14ac:dyDescent="0.4">
      <c r="A8" s="4"/>
      <c r="C8" s="149"/>
      <c r="D8" s="150"/>
      <c r="E8" s="149">
        <f ca="1">C7+1</f>
        <v>46335</v>
      </c>
      <c r="F8" s="150"/>
      <c r="G8" s="149">
        <f ca="1">E8+1</f>
        <v>46336</v>
      </c>
      <c r="H8" s="150"/>
      <c r="I8" s="149">
        <f ca="1">G8+1</f>
        <v>46337</v>
      </c>
      <c r="J8" s="150"/>
      <c r="K8" s="149">
        <f ca="1">I8+1</f>
        <v>46338</v>
      </c>
      <c r="L8" s="154"/>
      <c r="M8" s="154"/>
      <c r="N8" s="78"/>
      <c r="O8" s="149">
        <f ca="1">K8+1</f>
        <v>46339</v>
      </c>
      <c r="P8" s="154"/>
      <c r="Q8" s="154"/>
      <c r="R8" s="154"/>
      <c r="S8" s="154"/>
      <c r="T8" s="154"/>
      <c r="U8" s="154"/>
      <c r="V8" s="150"/>
      <c r="W8" s="149">
        <f ca="1">O8+1</f>
        <v>46340</v>
      </c>
      <c r="X8" s="154"/>
      <c r="Y8" s="154"/>
      <c r="Z8" s="154"/>
      <c r="AA8" s="154"/>
      <c r="AB8" s="154"/>
      <c r="AC8" s="154"/>
      <c r="AD8" s="150"/>
      <c r="AF8" s="4"/>
    </row>
    <row r="9" spans="1:36" s="43" customFormat="1" ht="146.4" customHeight="1" x14ac:dyDescent="0.4">
      <c r="A9" s="42"/>
      <c r="C9" s="135"/>
      <c r="D9" s="137"/>
      <c r="E9" s="141" t="s">
        <v>43</v>
      </c>
      <c r="F9" s="137"/>
      <c r="G9" s="135"/>
      <c r="H9" s="137"/>
      <c r="I9" s="135" t="s">
        <v>42</v>
      </c>
      <c r="J9" s="137"/>
      <c r="K9" s="135" t="s">
        <v>18</v>
      </c>
      <c r="L9" s="136"/>
      <c r="M9" s="136"/>
      <c r="N9" s="137"/>
      <c r="O9" s="156" t="s">
        <v>15</v>
      </c>
      <c r="P9" s="155"/>
      <c r="Q9" s="155"/>
      <c r="R9" s="155"/>
      <c r="S9" s="155"/>
      <c r="T9" s="155"/>
      <c r="U9" s="155"/>
      <c r="V9" s="122"/>
      <c r="W9" s="121"/>
      <c r="X9" s="155"/>
      <c r="Y9" s="155"/>
      <c r="Z9" s="155"/>
      <c r="AA9" s="155"/>
      <c r="AB9" s="155"/>
      <c r="AC9" s="155"/>
      <c r="AD9" s="122"/>
      <c r="AE9" s="7"/>
      <c r="AF9" s="42"/>
    </row>
    <row r="10" spans="1:36" s="43" customFormat="1" ht="9.9" customHeight="1" x14ac:dyDescent="0.4">
      <c r="A10" s="42"/>
      <c r="C10" s="149">
        <f ca="1">W8+1</f>
        <v>46341</v>
      </c>
      <c r="D10" s="150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45">
      <c r="A11" s="4"/>
      <c r="C11" s="149"/>
      <c r="D11" s="150"/>
      <c r="E11" s="149">
        <f ca="1">C10+1</f>
        <v>46342</v>
      </c>
      <c r="F11" s="150"/>
      <c r="G11" s="149">
        <f ca="1">E11+1</f>
        <v>46343</v>
      </c>
      <c r="H11" s="150"/>
      <c r="I11" s="149">
        <f ca="1">G11+1</f>
        <v>46344</v>
      </c>
      <c r="J11" s="150"/>
      <c r="K11" s="149">
        <f ca="1">I11+1</f>
        <v>46345</v>
      </c>
      <c r="L11" s="154"/>
      <c r="M11" s="154"/>
      <c r="N11" s="78"/>
      <c r="O11" s="149">
        <f ca="1">K11+1</f>
        <v>46346</v>
      </c>
      <c r="P11" s="154"/>
      <c r="Q11" s="154"/>
      <c r="R11" s="154"/>
      <c r="S11" s="154"/>
      <c r="T11" s="154"/>
      <c r="U11" s="154"/>
      <c r="V11" s="150"/>
      <c r="W11" s="149">
        <f ca="1">O11+1</f>
        <v>46347</v>
      </c>
      <c r="X11" s="154"/>
      <c r="Y11" s="154"/>
      <c r="Z11" s="154"/>
      <c r="AA11" s="154"/>
      <c r="AB11" s="154"/>
      <c r="AC11" s="154"/>
      <c r="AD11" s="150"/>
      <c r="AF11" s="4"/>
      <c r="AJ11" s="3"/>
    </row>
    <row r="12" spans="1:36" s="43" customFormat="1" ht="134.69999999999999" customHeight="1" x14ac:dyDescent="0.4">
      <c r="A12" s="42"/>
      <c r="C12" s="121"/>
      <c r="D12" s="122"/>
      <c r="E12" s="156" t="s">
        <v>16</v>
      </c>
      <c r="F12" s="157"/>
      <c r="G12" s="121"/>
      <c r="H12" s="122"/>
      <c r="I12" s="121"/>
      <c r="J12" s="122"/>
      <c r="K12" s="121"/>
      <c r="L12" s="155"/>
      <c r="M12" s="155"/>
      <c r="N12" s="122"/>
      <c r="O12" s="121"/>
      <c r="P12" s="155"/>
      <c r="Q12" s="155"/>
      <c r="R12" s="155"/>
      <c r="S12" s="155"/>
      <c r="T12" s="155"/>
      <c r="U12" s="155"/>
      <c r="V12" s="122"/>
      <c r="W12" s="121"/>
      <c r="X12" s="155"/>
      <c r="Y12" s="155"/>
      <c r="Z12" s="155"/>
      <c r="AA12" s="155"/>
      <c r="AB12" s="155"/>
      <c r="AC12" s="155"/>
      <c r="AD12" s="122"/>
      <c r="AE12" s="7"/>
      <c r="AF12" s="42"/>
    </row>
    <row r="13" spans="1:36" s="43" customFormat="1" ht="9.9" customHeight="1" x14ac:dyDescent="0.4">
      <c r="A13" s="42"/>
      <c r="C13" s="149">
        <f ca="1">W11+1</f>
        <v>46348</v>
      </c>
      <c r="D13" s="150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4">
      <c r="A14" s="4"/>
      <c r="C14" s="149"/>
      <c r="D14" s="150"/>
      <c r="E14" s="149">
        <f ca="1">C13+1</f>
        <v>46349</v>
      </c>
      <c r="F14" s="150"/>
      <c r="G14" s="149">
        <f ca="1">E14+1</f>
        <v>46350</v>
      </c>
      <c r="H14" s="150"/>
      <c r="I14" s="149">
        <f ca="1">G14+1</f>
        <v>46351</v>
      </c>
      <c r="J14" s="150"/>
      <c r="K14" s="149">
        <f ca="1">I14+1</f>
        <v>46352</v>
      </c>
      <c r="L14" s="154"/>
      <c r="M14" s="154"/>
      <c r="N14" s="78"/>
      <c r="O14" s="149">
        <f ca="1">K14+1</f>
        <v>46353</v>
      </c>
      <c r="P14" s="154"/>
      <c r="Q14" s="154"/>
      <c r="R14" s="154"/>
      <c r="S14" s="154"/>
      <c r="T14" s="154"/>
      <c r="U14" s="154"/>
      <c r="V14" s="150"/>
      <c r="W14" s="149">
        <f ca="1">O14+1</f>
        <v>46354</v>
      </c>
      <c r="X14" s="154"/>
      <c r="Y14" s="154"/>
      <c r="Z14" s="154"/>
      <c r="AA14" s="154"/>
      <c r="AB14" s="154"/>
      <c r="AC14" s="154"/>
      <c r="AD14" s="150"/>
      <c r="AF14" s="4"/>
    </row>
    <row r="15" spans="1:36" s="43" customFormat="1" ht="75" customHeight="1" x14ac:dyDescent="0.4">
      <c r="A15" s="42"/>
      <c r="C15" s="121"/>
      <c r="D15" s="122"/>
      <c r="E15" s="121"/>
      <c r="F15" s="122"/>
      <c r="G15" s="121"/>
      <c r="H15" s="122"/>
      <c r="I15" s="121"/>
      <c r="J15" s="122"/>
      <c r="K15" s="121"/>
      <c r="L15" s="155"/>
      <c r="M15" s="155"/>
      <c r="N15" s="122"/>
      <c r="O15" s="121"/>
      <c r="P15" s="155"/>
      <c r="Q15" s="155"/>
      <c r="R15" s="155"/>
      <c r="S15" s="155"/>
      <c r="T15" s="155"/>
      <c r="U15" s="155"/>
      <c r="V15" s="122"/>
      <c r="W15" s="121"/>
      <c r="X15" s="155"/>
      <c r="Y15" s="155"/>
      <c r="Z15" s="155"/>
      <c r="AA15" s="155"/>
      <c r="AB15" s="155"/>
      <c r="AC15" s="155"/>
      <c r="AD15" s="122"/>
      <c r="AE15" s="7"/>
      <c r="AF15" s="42"/>
    </row>
    <row r="16" spans="1:36" s="43" customFormat="1" ht="9.9" customHeight="1" x14ac:dyDescent="0.4">
      <c r="A16" s="42"/>
      <c r="C16" s="118">
        <f ca="1">W14+1</f>
        <v>46355</v>
      </c>
      <c r="D16" s="120"/>
      <c r="E16" s="45"/>
      <c r="F16" s="75"/>
      <c r="G16" s="45"/>
      <c r="H16" s="75"/>
      <c r="I16" s="146"/>
      <c r="J16" s="147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8"/>
      <c r="D17" s="120"/>
      <c r="E17" s="132">
        <f ca="1">C16+1</f>
        <v>46356</v>
      </c>
      <c r="F17" s="133"/>
      <c r="G17" s="132">
        <v>1</v>
      </c>
      <c r="H17" s="133"/>
      <c r="I17" s="132">
        <f>G17+1</f>
        <v>2</v>
      </c>
      <c r="J17" s="133"/>
      <c r="K17" s="132">
        <f>I17+1</f>
        <v>3</v>
      </c>
      <c r="L17" s="134"/>
      <c r="M17" s="134"/>
      <c r="N17" s="133"/>
      <c r="O17" s="132">
        <f>K17+1</f>
        <v>4</v>
      </c>
      <c r="P17" s="134"/>
      <c r="Q17" s="134"/>
      <c r="R17" s="134"/>
      <c r="S17" s="134"/>
      <c r="T17" s="134"/>
      <c r="U17" s="134"/>
      <c r="V17" s="133"/>
      <c r="W17" s="132">
        <f>O17+1</f>
        <v>5</v>
      </c>
      <c r="X17" s="134"/>
      <c r="Y17" s="134"/>
      <c r="Z17" s="134"/>
      <c r="AA17" s="134"/>
      <c r="AB17" s="134"/>
      <c r="AC17" s="134"/>
      <c r="AD17" s="133"/>
      <c r="AF17" s="4"/>
    </row>
    <row r="18" spans="1:42" s="43" customFormat="1" ht="75" customHeight="1" x14ac:dyDescent="0.45">
      <c r="A18" s="42"/>
      <c r="C18" s="111"/>
      <c r="D18" s="113"/>
      <c r="E18" s="111"/>
      <c r="F18" s="113"/>
      <c r="G18" s="111"/>
      <c r="H18" s="113"/>
      <c r="I18" s="111"/>
      <c r="J18" s="113"/>
      <c r="K18" s="111"/>
      <c r="L18" s="112"/>
      <c r="M18" s="112"/>
      <c r="N18" s="113"/>
      <c r="O18" s="111"/>
      <c r="P18" s="112"/>
      <c r="Q18" s="112"/>
      <c r="R18" s="112"/>
      <c r="S18" s="112"/>
      <c r="T18" s="112"/>
      <c r="U18" s="112"/>
      <c r="V18" s="113"/>
      <c r="W18" s="111"/>
      <c r="X18" s="112"/>
      <c r="Y18" s="112"/>
      <c r="Z18" s="112"/>
      <c r="AA18" s="112"/>
      <c r="AB18" s="112"/>
      <c r="AC18" s="112"/>
      <c r="AD18" s="113"/>
      <c r="AE18" s="7"/>
      <c r="AF18" s="42"/>
      <c r="AP18" s="3"/>
    </row>
    <row r="19" spans="1:42" s="43" customFormat="1" ht="9.9" customHeight="1" x14ac:dyDescent="0.4">
      <c r="A19" s="42"/>
      <c r="C19" s="118">
        <f>W17+1</f>
        <v>6</v>
      </c>
      <c r="D19" s="120"/>
      <c r="E19" s="45"/>
      <c r="F19" s="75"/>
      <c r="G19" s="45"/>
      <c r="H19" s="75"/>
      <c r="I19" s="146"/>
      <c r="J19" s="147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8"/>
      <c r="D20" s="120"/>
      <c r="E20" s="132">
        <f>C19+1</f>
        <v>7</v>
      </c>
      <c r="F20" s="133"/>
      <c r="G20" s="132">
        <f>E20+1</f>
        <v>8</v>
      </c>
      <c r="H20" s="133"/>
      <c r="I20" s="132">
        <f>G20+1</f>
        <v>9</v>
      </c>
      <c r="J20" s="133"/>
      <c r="K20" s="132">
        <f>I20+1</f>
        <v>10</v>
      </c>
      <c r="L20" s="134"/>
      <c r="M20" s="134"/>
      <c r="N20" s="133"/>
      <c r="O20" s="132">
        <f>K20+1</f>
        <v>11</v>
      </c>
      <c r="P20" s="134"/>
      <c r="Q20" s="134"/>
      <c r="R20" s="134"/>
      <c r="S20" s="134"/>
      <c r="T20" s="134"/>
      <c r="U20" s="134"/>
      <c r="V20" s="133"/>
      <c r="W20" s="132">
        <f>O20+1</f>
        <v>12</v>
      </c>
      <c r="X20" s="134"/>
      <c r="Y20" s="134"/>
      <c r="Z20" s="134"/>
      <c r="AA20" s="134"/>
      <c r="AB20" s="134"/>
      <c r="AC20" s="134"/>
      <c r="AD20" s="133"/>
      <c r="AF20" s="4"/>
    </row>
    <row r="21" spans="1:42" s="43" customFormat="1" ht="75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111"/>
      <c r="L21" s="112"/>
      <c r="M21" s="112"/>
      <c r="N21" s="113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139" t="s">
        <v>0</v>
      </c>
      <c r="D25" s="139"/>
      <c r="E25" s="139"/>
      <c r="F25" s="139"/>
      <c r="G25" s="139"/>
      <c r="H25" s="139"/>
      <c r="I25" s="139"/>
      <c r="J25" s="139"/>
      <c r="K25" s="139"/>
      <c r="L25" s="60"/>
      <c r="M25" s="1"/>
      <c r="O25" s="140">
        <f ca="1">DATE(YEAR(C2),MONTH(C2)-1,1)</f>
        <v>46296</v>
      </c>
      <c r="P25" s="140"/>
      <c r="Q25" s="140"/>
      <c r="R25" s="140"/>
      <c r="S25" s="140"/>
      <c r="T25" s="140"/>
      <c r="U25" s="140"/>
      <c r="V25" s="61"/>
      <c r="W25" s="61"/>
      <c r="X25" s="140">
        <f ca="1">DATE(YEAR(C2),MONTH(C2)+1,1)</f>
        <v>46357</v>
      </c>
      <c r="Y25" s="140"/>
      <c r="Z25" s="140"/>
      <c r="AA25" s="140"/>
      <c r="AB25" s="140"/>
      <c r="AC25" s="140"/>
      <c r="AD25" s="140"/>
      <c r="AF25" s="1"/>
    </row>
    <row r="26" spans="1:42" ht="15" customHeight="1" x14ac:dyDescent="0.45">
      <c r="A26" s="1"/>
      <c r="C26" s="139"/>
      <c r="D26" s="139"/>
      <c r="E26" s="139"/>
      <c r="F26" s="139"/>
      <c r="G26" s="139"/>
      <c r="H26" s="139"/>
      <c r="I26" s="139"/>
      <c r="J26" s="139"/>
      <c r="K26" s="139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15"/>
      <c r="D27" s="115"/>
      <c r="E27" s="115"/>
      <c r="F27" s="115"/>
      <c r="G27" s="115"/>
      <c r="H27" s="115"/>
      <c r="I27" s="115"/>
      <c r="J27" s="115"/>
      <c r="K27" s="115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45">
      <c r="A28" s="1"/>
      <c r="C28" s="114"/>
      <c r="D28" s="114"/>
      <c r="E28" s="114"/>
      <c r="F28" s="114"/>
      <c r="G28" s="114"/>
      <c r="H28" s="114"/>
      <c r="I28" s="114"/>
      <c r="J28" s="114"/>
      <c r="K28" s="114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45">
      <c r="A29" s="1"/>
      <c r="C29" s="115"/>
      <c r="D29" s="115"/>
      <c r="E29" s="115"/>
      <c r="F29" s="115"/>
      <c r="G29" s="115"/>
      <c r="H29" s="115"/>
      <c r="I29" s="115"/>
      <c r="J29" s="115"/>
      <c r="K29" s="115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45">
      <c r="A30" s="1"/>
      <c r="C30" s="114"/>
      <c r="D30" s="114"/>
      <c r="E30" s="114"/>
      <c r="F30" s="114"/>
      <c r="G30" s="114"/>
      <c r="H30" s="114"/>
      <c r="I30" s="114"/>
      <c r="J30" s="114"/>
      <c r="K30" s="114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45">
      <c r="A31" s="1"/>
      <c r="C31" s="115"/>
      <c r="D31" s="115"/>
      <c r="E31" s="115"/>
      <c r="F31" s="115"/>
      <c r="G31" s="115"/>
      <c r="H31" s="115"/>
      <c r="I31" s="115"/>
      <c r="J31" s="115"/>
      <c r="K31" s="115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45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2.9" thickBot="1" x14ac:dyDescent="0.5"/>
    <row r="38" spans="1:32" ht="12.6" customHeight="1" x14ac:dyDescent="0.45">
      <c r="D38" s="83" t="s">
        <v>24</v>
      </c>
      <c r="E38" s="84"/>
      <c r="F38" s="85"/>
      <c r="G38" s="89">
        <f ca="1">ROUNDDOWN((DATE(2026,11,13)-TODAY())/7,0)</f>
        <v>5</v>
      </c>
      <c r="H38" s="90"/>
      <c r="I38" s="83" t="s">
        <v>27</v>
      </c>
      <c r="J38" s="93"/>
      <c r="K38" s="95" t="s">
        <v>25</v>
      </c>
      <c r="L38" s="96"/>
      <c r="M38" s="99">
        <f ca="1">7*(((DATE(2026,11,13)-TODAY())/7)-ROUNDDOWN((DATE(2026,11,13)-TODAY())/7,0))</f>
        <v>5.9999999999999973</v>
      </c>
      <c r="N38" s="100"/>
      <c r="O38" s="100"/>
      <c r="P38" s="100"/>
      <c r="Q38" s="100"/>
      <c r="R38" s="101"/>
      <c r="S38" s="105" t="s">
        <v>26</v>
      </c>
      <c r="T38" s="106"/>
      <c r="U38" s="106"/>
      <c r="V38" s="106"/>
      <c r="W38" s="106"/>
      <c r="X38" s="107"/>
    </row>
    <row r="39" spans="1:32" ht="12.9" customHeight="1" thickBot="1" x14ac:dyDescent="0.5">
      <c r="D39" s="86"/>
      <c r="E39" s="87"/>
      <c r="F39" s="88"/>
      <c r="G39" s="91"/>
      <c r="H39" s="92"/>
      <c r="I39" s="86"/>
      <c r="J39" s="94"/>
      <c r="K39" s="97"/>
      <c r="L39" s="98"/>
      <c r="M39" s="102"/>
      <c r="N39" s="103"/>
      <c r="O39" s="103"/>
      <c r="P39" s="103"/>
      <c r="Q39" s="103"/>
      <c r="R39" s="104"/>
      <c r="S39" s="108"/>
      <c r="T39" s="109"/>
      <c r="U39" s="109"/>
      <c r="V39" s="109"/>
      <c r="W39" s="109"/>
      <c r="X39" s="110"/>
    </row>
  </sheetData>
  <mergeCells count="112"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2026-10-03T19:23:22Z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